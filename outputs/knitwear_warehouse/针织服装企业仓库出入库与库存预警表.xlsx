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库存看板" sheetId="1" r:id="rId1"/>
    <sheet name="订单主数据" sheetId="2" r:id="rId2"/>
    <sheet name="物料档案" sheetId="3" r:id="rId3"/>
    <sheet name="BOM用料" sheetId="4" r:id="rId4"/>
    <sheet name="入库明细" sheetId="5" r:id="rId5"/>
    <sheet name="出库明细" sheetId="6" r:id="rId6"/>
    <sheet name="库存总账" sheetId="7" r:id="rId7"/>
    <sheet name="单位换算" sheetId="8" r:id="rId8"/>
    <sheet name="字段关联说明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<sst xmlns="http://schemas.openxmlformats.org/spreadsheetml/2006/main" count="8520" uniqueCount="1154">
  <si>
    <t>针织服装企业库存看板</t>
  </si>
  <si>
    <t>自动汇总纱线、面料、辅料库存与预警；适用于横机、裁剪、缝制、后道领料</t>
  </si>
  <si>
    <t>物料总数</t>
  </si>
  <si>
    <t>预警物料</t>
  </si>
  <si>
    <t>订单缺料</t>
  </si>
  <si>
    <t>负库存</t>
  </si>
  <si>
    <t>按物料类型汇总</t>
  </si>
  <si>
    <t>预警清单 Top 20</t>
  </si>
  <si>
    <t>物料类型</t>
  </si>
  <si>
    <t>订单需求</t>
  </si>
  <si>
    <t>合格入库</t>
  </si>
  <si>
    <t>已出库</t>
  </si>
  <si>
    <t>账面库存</t>
  </si>
  <si>
    <t>预警数</t>
  </si>
  <si>
    <t>物料编码</t>
  </si>
  <si>
    <t>物料名称</t>
  </si>
  <si>
    <t>类型</t>
  </si>
  <si>
    <t>库存</t>
  </si>
  <si>
    <t>预警状态</t>
  </si>
  <si>
    <t>建议补货</t>
  </si>
  <si>
    <t>纱线</t>
  </si>
  <si>
    <t>面料</t>
  </si>
  <si>
    <t>辅料</t>
  </si>
  <si>
    <t>订单主数据 - 从生产管理进度表承接</t>
  </si>
  <si>
    <t>保留生产进度表的订单、款号、素材、供应商、数量、船期和工厂字段，供 BOM/入库/出库引用</t>
  </si>
  <si>
    <t>来源表</t>
  </si>
  <si>
    <t>业务员</t>
  </si>
  <si>
    <t>登记日期</t>
  </si>
  <si>
    <t>客户</t>
  </si>
  <si>
    <t>品牌</t>
  </si>
  <si>
    <t>合同/销售单号</t>
  </si>
  <si>
    <t>品番</t>
  </si>
  <si>
    <t>样品款号</t>
  </si>
  <si>
    <t>款式</t>
  </si>
  <si>
    <t>素材</t>
  </si>
  <si>
    <t>供应商</t>
  </si>
  <si>
    <t>订单数量</t>
  </si>
  <si>
    <t>船期</t>
  </si>
  <si>
    <t>材料采购状态</t>
  </si>
  <si>
    <t>原料到库日期</t>
  </si>
  <si>
    <t>辅料到库日期</t>
  </si>
  <si>
    <t>横机/毛衫工厂</t>
  </si>
  <si>
    <t>缝制/服装工厂</t>
  </si>
  <si>
    <t>后道工厂</t>
  </si>
  <si>
    <t>备注</t>
  </si>
  <si>
    <t>2026年度生产进度</t>
  </si>
  <si>
    <t>季晓芳</t>
  </si>
  <si>
    <t>2024-01-01</t>
  </si>
  <si>
    <t>秦</t>
  </si>
  <si>
    <t/>
  </si>
  <si>
    <t>历史订单</t>
  </si>
  <si>
    <t>暂无</t>
  </si>
  <si>
    <t>361446</t>
  </si>
  <si>
    <t>女士V领针织</t>
  </si>
  <si>
    <t>市场面料格子</t>
  </si>
  <si>
    <t>2022-05-30</t>
  </si>
  <si>
    <t>王曼曼</t>
  </si>
  <si>
    <t>2025-07-19</t>
  </si>
  <si>
    <t>片山</t>
  </si>
  <si>
    <t>MN</t>
  </si>
  <si>
    <t>SO250714-252</t>
  </si>
  <si>
    <t>66SPSM611</t>
  </si>
  <si>
    <t>66SPSM509</t>
  </si>
  <si>
    <t>男士毛衣开衫</t>
  </si>
  <si>
    <t>150D全涤线</t>
  </si>
  <si>
    <t>2026-01-23</t>
  </si>
  <si>
    <t>杨义</t>
  </si>
  <si>
    <t>2025-10-20</t>
  </si>
  <si>
    <t>玉田</t>
  </si>
  <si>
    <t>T2</t>
  </si>
  <si>
    <t>SO251020-722</t>
  </si>
  <si>
    <t>42-14-0299-639</t>
  </si>
  <si>
    <t>25FW1427</t>
  </si>
  <si>
    <t>男士针织T恤衫</t>
  </si>
  <si>
    <t>面料F01752+面料F05140</t>
  </si>
  <si>
    <t>鸿澄</t>
  </si>
  <si>
    <t>2026-01-02</t>
  </si>
  <si>
    <t>张彐南</t>
  </si>
  <si>
    <t>2025-08-20</t>
  </si>
  <si>
    <t>尾方</t>
  </si>
  <si>
    <t>SO260318-1579</t>
  </si>
  <si>
    <t>12-04-0209-802</t>
  </si>
  <si>
    <t>26S-BM0406</t>
  </si>
  <si>
    <t>男士T恤</t>
  </si>
  <si>
    <t>F04595 全涤华夫格+F04858全涤螺纹</t>
  </si>
  <si>
    <t>2025-08-21</t>
  </si>
  <si>
    <t>SO260318-1581</t>
  </si>
  <si>
    <t>11-05-0145-803</t>
  </si>
  <si>
    <t>26S-BM0501</t>
  </si>
  <si>
    <t>男士条纹毛衣</t>
  </si>
  <si>
    <t>150D涤丝</t>
  </si>
  <si>
    <t>SO260318-1590</t>
  </si>
  <si>
    <t>11-13-2266-803</t>
  </si>
  <si>
    <t>26S-BM1313</t>
  </si>
  <si>
    <t>男士针织拉链开衫</t>
  </si>
  <si>
    <t>F05721 精编空花</t>
  </si>
  <si>
    <t>2025-11-27</t>
  </si>
  <si>
    <t>SO260318-1577</t>
  </si>
  <si>
    <t>11-13-1661-803</t>
  </si>
  <si>
    <t>26S-HE1301</t>
  </si>
  <si>
    <t>男士风帽套头衫</t>
  </si>
  <si>
    <t>客供毛圈+2*2罗文+20/1汗布</t>
  </si>
  <si>
    <t>2025-10-22</t>
  </si>
  <si>
    <t>SO260319-1607</t>
  </si>
  <si>
    <t>6-0086-1-53-201</t>
  </si>
  <si>
    <t>6-0086-1-53-901</t>
  </si>
  <si>
    <t>圆领套头衫</t>
  </si>
  <si>
    <t>F00921+索罗娜罗纹</t>
  </si>
  <si>
    <t>2026-01-09</t>
  </si>
  <si>
    <t>SO260318-1578</t>
  </si>
  <si>
    <t>11-24-3533-803</t>
  </si>
  <si>
    <t>26S-HE2402</t>
  </si>
  <si>
    <t>男士长裤</t>
  </si>
  <si>
    <t>客供毛圈+网眼袋布</t>
  </si>
  <si>
    <t>2025-11-19</t>
  </si>
  <si>
    <t>SO251119-995</t>
  </si>
  <si>
    <t>26-080-312-5000-1-0</t>
  </si>
  <si>
    <t>26417-3</t>
  </si>
  <si>
    <t>男士毛衣POLO衫</t>
  </si>
  <si>
    <t>150D中弹丝+雪尼尔+氨纶丝</t>
  </si>
  <si>
    <t>奕翔/伟强/恒升</t>
  </si>
  <si>
    <t>2025-11-21</t>
  </si>
  <si>
    <t>SO251205-1093</t>
  </si>
  <si>
    <t>616-35027</t>
  </si>
  <si>
    <t>26TK08</t>
  </si>
  <si>
    <t>男士针织毛毯针套头衫</t>
  </si>
  <si>
    <t>240克空气层</t>
  </si>
  <si>
    <t>2026-01-16</t>
  </si>
  <si>
    <t>SO251018-708</t>
  </si>
  <si>
    <t>1612-1-000024</t>
  </si>
  <si>
    <t>BY-F02666</t>
  </si>
  <si>
    <t>女士针织T</t>
  </si>
  <si>
    <t>面料F02666+面料F03181</t>
  </si>
  <si>
    <t>2026-01-30</t>
  </si>
  <si>
    <t>2025-12-05</t>
  </si>
  <si>
    <t>SO251205-1091</t>
  </si>
  <si>
    <t>616-35026</t>
  </si>
  <si>
    <t>男士针织套头衫</t>
  </si>
  <si>
    <t>240克棉涤氨纶空气层</t>
  </si>
  <si>
    <t>丁佐华</t>
  </si>
  <si>
    <t>2025-08-06</t>
  </si>
  <si>
    <t>今村</t>
  </si>
  <si>
    <t>SO250806-336</t>
  </si>
  <si>
    <t>KKWMLM0333</t>
  </si>
  <si>
    <t>26SS-MN-021(26SS-MN-008)</t>
  </si>
  <si>
    <t>女士针织T恤</t>
  </si>
  <si>
    <t>面料F06037</t>
  </si>
  <si>
    <t>2026-01-29</t>
  </si>
  <si>
    <t>SO250806-338</t>
  </si>
  <si>
    <t>KKWMLM0331</t>
  </si>
  <si>
    <t>26SS-MN-004</t>
  </si>
  <si>
    <t>女士针织套头衫</t>
  </si>
  <si>
    <t>面料F05915+日本别布</t>
  </si>
  <si>
    <t>2026-02-07</t>
  </si>
  <si>
    <t>蒋建芳</t>
  </si>
  <si>
    <t>2025-08-13</t>
  </si>
  <si>
    <t>国武</t>
  </si>
  <si>
    <t>SO250809-343</t>
  </si>
  <si>
    <t>102439090005</t>
  </si>
  <si>
    <t>25SS-CL102（251-1243）</t>
  </si>
  <si>
    <t>男士毛衣拼接中国结上衣</t>
  </si>
  <si>
    <t>2/36麻纱线</t>
  </si>
  <si>
    <t>2026-01-13</t>
  </si>
  <si>
    <t>SO250811-349</t>
  </si>
  <si>
    <t>102439090006</t>
  </si>
  <si>
    <t>25SS-CL103（251-1244）</t>
  </si>
  <si>
    <t>男士毛衣拼接上衣</t>
  </si>
  <si>
    <t>SO250811-350</t>
  </si>
  <si>
    <t>1043390900068</t>
  </si>
  <si>
    <t>25SS-CL104（251-1452）</t>
  </si>
  <si>
    <t>男士毛衣拼接长裤</t>
  </si>
  <si>
    <t>2/36麻纱线+三维尔麻梭织布</t>
  </si>
  <si>
    <t>SO260318-1602</t>
  </si>
  <si>
    <t>102439090004</t>
  </si>
  <si>
    <t>25SS-CL100（251-1242）</t>
  </si>
  <si>
    <t>男士毛衣拼接风帽衫</t>
  </si>
  <si>
    <t>SO250811-347</t>
  </si>
  <si>
    <t>1080390900003</t>
  </si>
  <si>
    <t>25SS-CL101（251-1805）</t>
  </si>
  <si>
    <t>毛衣拼接围巾</t>
  </si>
  <si>
    <t>2025-12-06</t>
  </si>
  <si>
    <t>船木</t>
  </si>
  <si>
    <t>SO251206-1103</t>
  </si>
  <si>
    <t>51P13-713</t>
  </si>
  <si>
    <t>1P-TK14</t>
  </si>
  <si>
    <t>男士针织拼接T恤</t>
  </si>
  <si>
    <t>150D全涤线+丝光广东棉毛布</t>
  </si>
  <si>
    <t>恒升</t>
  </si>
  <si>
    <t>2026-01-27</t>
  </si>
  <si>
    <t>2025-08-19</t>
  </si>
  <si>
    <t>渡边</t>
  </si>
  <si>
    <t>SO250819-379</t>
  </si>
  <si>
    <t>3612-1-000026</t>
  </si>
  <si>
    <t>GLS261CS-04</t>
  </si>
  <si>
    <t>女士成衣染色套头衫</t>
  </si>
  <si>
    <t>面料F04411+2*2罗文面料</t>
  </si>
  <si>
    <t>2026-01-12</t>
  </si>
  <si>
    <t>SO250819-383</t>
  </si>
  <si>
    <t>3612-1-000027</t>
  </si>
  <si>
    <t>GLS261CS-08</t>
  </si>
  <si>
    <t>成衣染色POLO衫</t>
  </si>
  <si>
    <t>面料F04411+2*2棉氨纶螺纹+全棉纱线+面料F00130A</t>
  </si>
  <si>
    <t>2025-10-21</t>
  </si>
  <si>
    <t>SO251021-732</t>
  </si>
  <si>
    <t>J1P83-020</t>
  </si>
  <si>
    <t>男士针织长袖T恤</t>
  </si>
  <si>
    <t>罗文+棉毛布</t>
  </si>
  <si>
    <t>SO251021-733</t>
  </si>
  <si>
    <t>J1P85-020</t>
  </si>
  <si>
    <t>男士针织V领T恤</t>
  </si>
  <si>
    <t>SO251021-731</t>
  </si>
  <si>
    <t>J1P80-020</t>
  </si>
  <si>
    <t>男士针织短袖T恤</t>
  </si>
  <si>
    <t>2026-02-06</t>
  </si>
  <si>
    <t>2025-08-18</t>
  </si>
  <si>
    <t>SO260318-1596</t>
  </si>
  <si>
    <t>11-04-1321-803</t>
  </si>
  <si>
    <t>26S-BM0414</t>
  </si>
  <si>
    <t>F05172+F04754</t>
  </si>
  <si>
    <t>2026-02-13</t>
  </si>
  <si>
    <t>陈韦韦</t>
  </si>
  <si>
    <t>2025-08-22</t>
  </si>
  <si>
    <t>江本</t>
  </si>
  <si>
    <t>SO250822-408</t>
  </si>
  <si>
    <t>HM31CS002</t>
  </si>
  <si>
    <t>男款短袖T恤</t>
  </si>
  <si>
    <t>面料F05457+1*1罗纹</t>
  </si>
  <si>
    <t>SO250822-407-1</t>
  </si>
  <si>
    <t>HM31CS020</t>
  </si>
  <si>
    <t>男款半开襟长袖套头衫</t>
  </si>
  <si>
    <t>客供网眼面料+客供圆筒罗纹面料</t>
  </si>
  <si>
    <t>SO250822-409</t>
  </si>
  <si>
    <t>HM31CS003</t>
  </si>
  <si>
    <t>男款针织开衫</t>
  </si>
  <si>
    <t>客供起毛毛圈+客供梭织布+罗纹布</t>
  </si>
  <si>
    <t>SO250822-407-2</t>
  </si>
  <si>
    <t>2026-01-26</t>
  </si>
  <si>
    <t>2025-08-30</t>
  </si>
  <si>
    <t>本村</t>
  </si>
  <si>
    <t>LANDWELL</t>
  </si>
  <si>
    <t>SO250827-427</t>
  </si>
  <si>
    <t>CH02-1268</t>
  </si>
  <si>
    <t>男士绣花PO衫</t>
  </si>
  <si>
    <t>面料F03861+21双纱+高弹丝+面料F00368+面料F00369</t>
  </si>
  <si>
    <t>2026-01-10</t>
  </si>
  <si>
    <t>SO250827-428</t>
  </si>
  <si>
    <t>CH12-1268</t>
  </si>
  <si>
    <t>女士绣花PO衫</t>
  </si>
  <si>
    <t>面料F03861+21双纱+高弹丝+面料F00370+面料F00371</t>
  </si>
  <si>
    <t>SO250828-429</t>
  </si>
  <si>
    <t>CH02-1269</t>
  </si>
  <si>
    <t>男士绣花T恤</t>
  </si>
  <si>
    <t>面料F03861+1*1罗文</t>
  </si>
  <si>
    <t>SO250828-430</t>
  </si>
  <si>
    <t>CH12-1269</t>
  </si>
  <si>
    <t>女士绣花T恤</t>
  </si>
  <si>
    <t>SO250828-431</t>
  </si>
  <si>
    <t>CH02-1270</t>
  </si>
  <si>
    <t>面料F03861+21支双纱+高弹丝+面料F00372+面料F00373</t>
  </si>
  <si>
    <t>SO250828-432</t>
  </si>
  <si>
    <t>CH12-1270</t>
  </si>
  <si>
    <t>面料F03861+21支双纱+高弹丝+面料F00374+面料F00375</t>
  </si>
  <si>
    <t>SO250828-433</t>
  </si>
  <si>
    <t>CH02-1271</t>
  </si>
  <si>
    <t>男士绣花立领衫</t>
  </si>
  <si>
    <t>面料F03861+21S双纱+高弹丝+面料F00376+面料F00377</t>
  </si>
  <si>
    <t>SO250828-434</t>
  </si>
  <si>
    <t>CH12-1271</t>
  </si>
  <si>
    <t>女士绣花立领衫</t>
  </si>
  <si>
    <t>面料F03861+21支双纱+高弹丝+面料F00378+面料F00379</t>
  </si>
  <si>
    <t>SO250828-435</t>
  </si>
  <si>
    <t>CH02-1274</t>
  </si>
  <si>
    <t>面料F03861+32支双纱</t>
  </si>
  <si>
    <t>SO250828-436</t>
  </si>
  <si>
    <t>CH12-1274</t>
  </si>
  <si>
    <t>SO250828-437</t>
  </si>
  <si>
    <t>CH18-1380</t>
  </si>
  <si>
    <t>女士绣花连衣裙</t>
  </si>
  <si>
    <t>面料F03861+21支双纱+高弹丝+面料F00404+面料F00405</t>
  </si>
  <si>
    <t>SO250829-440</t>
  </si>
  <si>
    <t>CH02-1275</t>
  </si>
  <si>
    <t>男士条纹绣花T恤</t>
  </si>
  <si>
    <t>珠地条纹+面料F03862+珠地条纹+32支双纱</t>
  </si>
  <si>
    <t>SO250829-443</t>
  </si>
  <si>
    <t>CH12-1275</t>
  </si>
  <si>
    <t>女士条纹绣花T恤</t>
  </si>
  <si>
    <t>SO250829-444</t>
  </si>
  <si>
    <t>CH18-1381</t>
  </si>
  <si>
    <t>女士条纹连衣裙</t>
  </si>
  <si>
    <t>SO250829-445</t>
  </si>
  <si>
    <t>CH02-1272</t>
  </si>
  <si>
    <t>男士条纹绣花PO衫</t>
  </si>
  <si>
    <t>条纹+面料F03862+珠地黑彩虹条+21支双纱+高弹丝+面料F00380+面料F00396</t>
  </si>
  <si>
    <t>SO250829-446</t>
  </si>
  <si>
    <t>CH12-1272</t>
  </si>
  <si>
    <t>女士条纹绣花PO衫</t>
  </si>
  <si>
    <t>珠地条纹+面料F03862+珠地黑彩虹条纹+21支双纱+高弹丝+面料F00397+面料F00398</t>
  </si>
  <si>
    <t>SO250829-447</t>
  </si>
  <si>
    <t>CH02-1273</t>
  </si>
  <si>
    <t>男士条纹立领绣花T</t>
  </si>
  <si>
    <t>珠地条纹+面料F03862+珠地条纹+21支双纱+高弹丝+面料F00399+面料F00400</t>
  </si>
  <si>
    <t>SO250829-448</t>
  </si>
  <si>
    <t>CH12-1273</t>
  </si>
  <si>
    <t>女士条纹绣花立领衫</t>
  </si>
  <si>
    <t>珠地条纹+面料F03862+珠地条纹+21支双纱+高弹丝+面料F00401+面料F00402</t>
  </si>
  <si>
    <t>SO250826-424</t>
  </si>
  <si>
    <t>CH02-1260</t>
  </si>
  <si>
    <t>面料F03861+21双纱+高弹丝+面料F00364+面料F00365</t>
  </si>
  <si>
    <t>2026-01-19</t>
  </si>
  <si>
    <t>SO250827-426</t>
  </si>
  <si>
    <t>CH12-1260</t>
  </si>
  <si>
    <t>面料F03861+21双纱+高弹丝+面料F00366+面料F00367</t>
  </si>
  <si>
    <t>SO250830-457</t>
  </si>
  <si>
    <t>CH01-2760</t>
  </si>
  <si>
    <t>男士印花T恤</t>
  </si>
  <si>
    <t>F06153汗布+1*1罗文F06154</t>
  </si>
  <si>
    <t>朗宁</t>
  </si>
  <si>
    <t>SO250830-458</t>
  </si>
  <si>
    <t>CH11-2760</t>
  </si>
  <si>
    <t>女士印花T恤</t>
  </si>
  <si>
    <t>SO250830-460</t>
  </si>
  <si>
    <t>CH01-2761</t>
  </si>
  <si>
    <t>SO250830-462</t>
  </si>
  <si>
    <t>CH11-2761</t>
  </si>
  <si>
    <t>SO250830-463</t>
  </si>
  <si>
    <t>CH01-2762</t>
  </si>
  <si>
    <t>SO250830-464</t>
  </si>
  <si>
    <t>CH11-2762</t>
  </si>
  <si>
    <t>SO250830-465</t>
  </si>
  <si>
    <t>CH01-2763</t>
  </si>
  <si>
    <t>SO250830-466</t>
  </si>
  <si>
    <t>CH11-2763</t>
  </si>
  <si>
    <t>SO250830-467</t>
  </si>
  <si>
    <t>CH01-2764</t>
  </si>
  <si>
    <t>SO250830-468</t>
  </si>
  <si>
    <t>CH11-2764</t>
  </si>
  <si>
    <t>SO250830-469</t>
  </si>
  <si>
    <t>CH01-2765</t>
  </si>
  <si>
    <t>SO250830-470</t>
  </si>
  <si>
    <t>CH11-2765</t>
  </si>
  <si>
    <t>2025-09-01</t>
  </si>
  <si>
    <t>远藤</t>
  </si>
  <si>
    <t>SO260317-1562</t>
  </si>
  <si>
    <t>FSR261-90276</t>
  </si>
  <si>
    <t>FSR-261-90276</t>
  </si>
  <si>
    <t>毯子</t>
  </si>
  <si>
    <t>F06323毛巾布+滚边布</t>
  </si>
  <si>
    <t>2026-01-24</t>
  </si>
  <si>
    <t>SO260317-1563</t>
  </si>
  <si>
    <t>FSR261-60193B短裤</t>
  </si>
  <si>
    <t>FSR-253-60180B 短裤</t>
  </si>
  <si>
    <t>男士套装短裤</t>
  </si>
  <si>
    <t>F06323毛巾布+袋布</t>
  </si>
  <si>
    <t>兰美人</t>
  </si>
  <si>
    <t>SO260317-1564</t>
  </si>
  <si>
    <t>FSR261-60194长裤</t>
  </si>
  <si>
    <t>FSR-253-60210长裤</t>
  </si>
  <si>
    <t>男士套装长裤</t>
  </si>
  <si>
    <t>SO260318-1587</t>
  </si>
  <si>
    <t>FSR261-60195长裤</t>
  </si>
  <si>
    <t>SO260318-1588</t>
  </si>
  <si>
    <t>FSR261-60194上衣</t>
  </si>
  <si>
    <t>FSR-253-60210</t>
  </si>
  <si>
    <t>男士套装针织上衣</t>
  </si>
  <si>
    <t>SO260318-1589</t>
  </si>
  <si>
    <t>FSR261-60193B上衣</t>
  </si>
  <si>
    <t>FSR-242-70041短袖上衣</t>
  </si>
  <si>
    <t>男士套装上衣</t>
  </si>
  <si>
    <t>SO260318-1591</t>
  </si>
  <si>
    <t>FSR261-60195</t>
  </si>
  <si>
    <t>FSR-253-60211</t>
  </si>
  <si>
    <t>SO251024-775</t>
  </si>
  <si>
    <t>1612-1-000024-2</t>
  </si>
  <si>
    <t>今野</t>
  </si>
  <si>
    <t>SO250901-472</t>
  </si>
  <si>
    <t>RBKED30</t>
  </si>
  <si>
    <t>女士针织加梭织拼接套头衫</t>
  </si>
  <si>
    <t>经编布+雪纺面料+面料F00130B+面料F00130C</t>
  </si>
  <si>
    <t>SO251022-746</t>
  </si>
  <si>
    <t>1627-1-000006</t>
  </si>
  <si>
    <t>BY-F04433</t>
  </si>
  <si>
    <t>女士针织拉链风貌衫</t>
  </si>
  <si>
    <t>面料F04433</t>
  </si>
  <si>
    <t>2025-09-02</t>
  </si>
  <si>
    <t>木村</t>
  </si>
  <si>
    <t>SO250828-438</t>
  </si>
  <si>
    <t>FSTBL002</t>
  </si>
  <si>
    <t>短袖衬衫</t>
  </si>
  <si>
    <t>SPS-2024-0103-21</t>
  </si>
  <si>
    <t>紫约</t>
  </si>
  <si>
    <t>2026-03-09</t>
  </si>
  <si>
    <t>倪志云</t>
  </si>
  <si>
    <t>2025-09-05</t>
  </si>
  <si>
    <t>家光</t>
  </si>
  <si>
    <t>SO250904-483</t>
  </si>
  <si>
    <t>467U3411</t>
  </si>
  <si>
    <t>CS-0311</t>
  </si>
  <si>
    <t>女士套头衫</t>
  </si>
  <si>
    <t>F05842</t>
  </si>
  <si>
    <t>SO250905-488</t>
  </si>
  <si>
    <t>450U3411</t>
  </si>
  <si>
    <t>女式连帽衫</t>
  </si>
  <si>
    <t>2025-09-08</t>
  </si>
  <si>
    <t>SO250906-492</t>
  </si>
  <si>
    <t>KKS2LM0930</t>
  </si>
  <si>
    <t>KK1429</t>
  </si>
  <si>
    <t>女士针织毛圈布风帽套头衫</t>
  </si>
  <si>
    <t>面料F01371+汗布</t>
  </si>
  <si>
    <t>SO250906-493</t>
  </si>
  <si>
    <t>OPS2LM0930</t>
  </si>
  <si>
    <t>KK1430</t>
  </si>
  <si>
    <t>女士针织毛圈布连衣裙</t>
  </si>
  <si>
    <t>面料F01371+面料F03871+汗布</t>
  </si>
  <si>
    <t>SO250906-494</t>
  </si>
  <si>
    <t>OPS2LM0931</t>
  </si>
  <si>
    <t>OP7591</t>
  </si>
  <si>
    <t>面料F03871+汗布+面料F01371</t>
  </si>
  <si>
    <t>2026-02-12</t>
  </si>
  <si>
    <t>金华</t>
  </si>
  <si>
    <t>筱原</t>
  </si>
  <si>
    <t>SO250818-374</t>
  </si>
  <si>
    <t>1217-1-053926（1）</t>
  </si>
  <si>
    <t>1217-105-3926（1）</t>
  </si>
  <si>
    <t>男士针织半开襟套头短袖T</t>
  </si>
  <si>
    <t>面料F02343+面料F03205</t>
  </si>
  <si>
    <t>物料档案 - 纱线 / 面料 / 辅料统一编码</t>
  </si>
  <si>
    <t>库存主单位是所有出入库折算后的核算单位；卷、包等非固定单位可在单位换算表维护系数</t>
  </si>
  <si>
    <t>规格/纱支/门幅</t>
  </si>
  <si>
    <t>颜色/缸号</t>
  </si>
  <si>
    <t>默认供应商</t>
  </si>
  <si>
    <t>库存主单位</t>
  </si>
  <si>
    <t>安全库存</t>
  </si>
  <si>
    <t>采购提前期(天)</t>
  </si>
  <si>
    <t>默认库位</t>
  </si>
  <si>
    <t>状态</t>
  </si>
  <si>
    <t>替代料</t>
  </si>
  <si>
    <t>MAT-0001</t>
  </si>
  <si>
    <t>M</t>
  </si>
  <si>
    <t>面料仓-B区</t>
  </si>
  <si>
    <t>启用</t>
  </si>
  <si>
    <t>MAT-0002</t>
  </si>
  <si>
    <t>KG</t>
  </si>
  <si>
    <t>纱线仓-A区</t>
  </si>
  <si>
    <t>MAT-0003</t>
  </si>
  <si>
    <t>面料F01752</t>
  </si>
  <si>
    <t>MAT-0004</t>
  </si>
  <si>
    <t>面料F05140</t>
  </si>
  <si>
    <t>MAT-0005</t>
  </si>
  <si>
    <t>F04595 全涤华夫格</t>
  </si>
  <si>
    <t>MAT-0006</t>
  </si>
  <si>
    <t>F04858全涤螺纹</t>
  </si>
  <si>
    <t>MAT-0007</t>
  </si>
  <si>
    <t>MAT-0008</t>
  </si>
  <si>
    <t>MAT-0009</t>
  </si>
  <si>
    <t>MAT-0010</t>
  </si>
  <si>
    <t>客供毛圈</t>
  </si>
  <si>
    <t>MAT-0011</t>
  </si>
  <si>
    <t>2*2罗文</t>
  </si>
  <si>
    <t>PCS</t>
  </si>
  <si>
    <t>辅料仓-C区</t>
  </si>
  <si>
    <t>MAT-0012</t>
  </si>
  <si>
    <t>20/1汗布</t>
  </si>
  <si>
    <t>MAT-0013</t>
  </si>
  <si>
    <t>F00921</t>
  </si>
  <si>
    <t>MAT-0014</t>
  </si>
  <si>
    <t>索罗娜罗纹</t>
  </si>
  <si>
    <t>MAT-0015</t>
  </si>
  <si>
    <t>MAT-0016</t>
  </si>
  <si>
    <t>网眼袋布</t>
  </si>
  <si>
    <t>MAT-0017</t>
  </si>
  <si>
    <t>MAT-0018</t>
  </si>
  <si>
    <t>150D中弹丝</t>
  </si>
  <si>
    <t>MAT-0019</t>
  </si>
  <si>
    <t>雪尼尔</t>
  </si>
  <si>
    <t>MAT-0020</t>
  </si>
  <si>
    <t>氨纶丝</t>
  </si>
  <si>
    <t>MAT-0021</t>
  </si>
  <si>
    <t>MAT-0022</t>
  </si>
  <si>
    <t>面料F02666</t>
  </si>
  <si>
    <t>MAT-0023</t>
  </si>
  <si>
    <t>面料F03181</t>
  </si>
  <si>
    <t>MAT-0024</t>
  </si>
  <si>
    <t>MAT-0025</t>
  </si>
  <si>
    <t>MAT-0026</t>
  </si>
  <si>
    <t>面料F05915</t>
  </si>
  <si>
    <t>MAT-0027</t>
  </si>
  <si>
    <t>日本别布</t>
  </si>
  <si>
    <t>MAT-0028</t>
  </si>
  <si>
    <t>MAT-0029</t>
  </si>
  <si>
    <t>MAT-0030</t>
  </si>
  <si>
    <t>MAT-0031</t>
  </si>
  <si>
    <t>MAT-0032</t>
  </si>
  <si>
    <t>MAT-0033</t>
  </si>
  <si>
    <t>三维尔麻梭织布</t>
  </si>
  <si>
    <t>MAT-0034</t>
  </si>
  <si>
    <t>MAT-0035</t>
  </si>
  <si>
    <t>MAT-0036</t>
  </si>
  <si>
    <t>MAT-0037</t>
  </si>
  <si>
    <t>MAT-0038</t>
  </si>
  <si>
    <t>MAT-0039</t>
  </si>
  <si>
    <t>丝光广东棉毛布</t>
  </si>
  <si>
    <t>MAT-0040</t>
  </si>
  <si>
    <t>面料F04411</t>
  </si>
  <si>
    <t>MAT-0041</t>
  </si>
  <si>
    <t>2*2罗文面料</t>
  </si>
  <si>
    <t>MAT-0042</t>
  </si>
  <si>
    <t>MAT-0043</t>
  </si>
  <si>
    <t>2*2棉氨纶螺纹</t>
  </si>
  <si>
    <t>MAT-0044</t>
  </si>
  <si>
    <t>全棉纱线</t>
  </si>
  <si>
    <t>MAT-0045</t>
  </si>
  <si>
    <t>面料F00130A</t>
  </si>
  <si>
    <t>MAT-0046</t>
  </si>
  <si>
    <t>罗文</t>
  </si>
  <si>
    <t>MAT-0047</t>
  </si>
  <si>
    <t>棉毛布</t>
  </si>
  <si>
    <t>MAT-0048</t>
  </si>
  <si>
    <t>MAT-0049</t>
  </si>
  <si>
    <t>MAT-0050</t>
  </si>
  <si>
    <t>MAT-0051</t>
  </si>
  <si>
    <t>MAT-0052</t>
  </si>
  <si>
    <t>F05172</t>
  </si>
  <si>
    <t>MAT-0053</t>
  </si>
  <si>
    <t>F04754</t>
  </si>
  <si>
    <t>MAT-0054</t>
  </si>
  <si>
    <t>面料F05457</t>
  </si>
  <si>
    <t>MAT-0055</t>
  </si>
  <si>
    <t>1*1罗纹</t>
  </si>
  <si>
    <t>MAT-0056</t>
  </si>
  <si>
    <t>客供网眼面料</t>
  </si>
  <si>
    <t>MAT-0057</t>
  </si>
  <si>
    <t>客供圆筒罗纹面料</t>
  </si>
  <si>
    <t>MAT-0058</t>
  </si>
  <si>
    <t>客供起毛毛圈</t>
  </si>
  <si>
    <t>MAT-0059</t>
  </si>
  <si>
    <t>客供梭织布</t>
  </si>
  <si>
    <t>MAT-0060</t>
  </si>
  <si>
    <t>罗纹布</t>
  </si>
  <si>
    <t>MAT-0061</t>
  </si>
  <si>
    <t>MAT-0062</t>
  </si>
  <si>
    <t>MAT-0063</t>
  </si>
  <si>
    <t>面料F03861</t>
  </si>
  <si>
    <t>MAT-0064</t>
  </si>
  <si>
    <t>21双纱</t>
  </si>
  <si>
    <t>MAT-0065</t>
  </si>
  <si>
    <t>高弹丝</t>
  </si>
  <si>
    <t>MAT-0066</t>
  </si>
  <si>
    <t>面料F00368</t>
  </si>
  <si>
    <t>MAT-0067</t>
  </si>
  <si>
    <t>面料F00369</t>
  </si>
  <si>
    <t>MAT-0068</t>
  </si>
  <si>
    <t>MAT-0069</t>
  </si>
  <si>
    <t>MAT-0070</t>
  </si>
  <si>
    <t>MAT-0071</t>
  </si>
  <si>
    <t>面料F00370</t>
  </si>
  <si>
    <t>MAT-0072</t>
  </si>
  <si>
    <t>面料F00371</t>
  </si>
  <si>
    <t>MAT-0073</t>
  </si>
  <si>
    <t>MAT-0074</t>
  </si>
  <si>
    <t>1*1罗文</t>
  </si>
  <si>
    <t>MAT-0075</t>
  </si>
  <si>
    <t>MAT-0076</t>
  </si>
  <si>
    <t>MAT-0077</t>
  </si>
  <si>
    <t>MAT-0078</t>
  </si>
  <si>
    <t>21支双纱</t>
  </si>
  <si>
    <t>MAT-0079</t>
  </si>
  <si>
    <t>MAT-0080</t>
  </si>
  <si>
    <t>面料F00372</t>
  </si>
  <si>
    <t>MAT-0081</t>
  </si>
  <si>
    <t>面料F00373</t>
  </si>
  <si>
    <t>MAT-0082</t>
  </si>
  <si>
    <t>MAT-0083</t>
  </si>
  <si>
    <t>MAT-0084</t>
  </si>
  <si>
    <t>MAT-0085</t>
  </si>
  <si>
    <t>面料F00374</t>
  </si>
  <si>
    <t>MAT-0086</t>
  </si>
  <si>
    <t>面料F00375</t>
  </si>
  <si>
    <t>MAT-0087</t>
  </si>
  <si>
    <t>MAT-0088</t>
  </si>
  <si>
    <t>21S双纱</t>
  </si>
  <si>
    <t>MAT-0089</t>
  </si>
  <si>
    <t>MAT-0090</t>
  </si>
  <si>
    <t>面料F00376</t>
  </si>
  <si>
    <t>MAT-0091</t>
  </si>
  <si>
    <t>面料F00377</t>
  </si>
  <si>
    <t>MAT-0092</t>
  </si>
  <si>
    <t>MAT-0093</t>
  </si>
  <si>
    <t>MAT-0094</t>
  </si>
  <si>
    <t>MAT-0095</t>
  </si>
  <si>
    <t>面料F00378</t>
  </si>
  <si>
    <t>MAT-0096</t>
  </si>
  <si>
    <t>面料F00379</t>
  </si>
  <si>
    <t>MAT-0097</t>
  </si>
  <si>
    <t>MAT-0098</t>
  </si>
  <si>
    <t>32支双纱</t>
  </si>
  <si>
    <t>MAT-0099</t>
  </si>
  <si>
    <t>MAT-0100</t>
  </si>
  <si>
    <t>MAT-0101</t>
  </si>
  <si>
    <t>MAT-0102</t>
  </si>
  <si>
    <t>MAT-0103</t>
  </si>
  <si>
    <t>MAT-0104</t>
  </si>
  <si>
    <t>面料F00404</t>
  </si>
  <si>
    <t>MAT-0105</t>
  </si>
  <si>
    <t>面料F00405</t>
  </si>
  <si>
    <t>MAT-0106</t>
  </si>
  <si>
    <t>珠地条纹</t>
  </si>
  <si>
    <t>MAT-0107</t>
  </si>
  <si>
    <t>面料F03862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</si>
  <si>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</si>
  <si>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</si>
  <si>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</si>
  <si>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</si>
  <si>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</si>
  <si>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</si>
  <si>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</si>
  <si>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</si>
  <si>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</si>
  <si>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</si>
  <si>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</si>
  <si>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条纹</t>
  </si>
  <si>
    <t>MAT-0119</t>
  </si>
  <si>
    <t>MAT-0120</t>
  </si>
  <si>
    <t>珠地黑彩虹条</t>
  </si>
  <si>
    <t>MAT-0121</t>
  </si>
  <si>
    <t>MAT-0122</t>
  </si>
  <si>
    <t>MAT-0123</t>
  </si>
  <si>
    <t>面料F00380</t>
  </si>
  <si>
    <t>MAT-0124</t>
  </si>
  <si>
    <t>面料F00396</t>
  </si>
  <si>
    <t>MAT-0125</t>
  </si>
  <si>
    <t>MAT-0126</t>
  </si>
  <si>
    <t>MAT-0127</t>
  </si>
  <si>
    <t>珠地黑彩虹条纹</t>
  </si>
  <si>
    <t>MAT-0128</t>
  </si>
  <si>
    <t>MAT-0129</t>
  </si>
  <si>
    <t>MAT-0130</t>
  </si>
  <si>
    <t>面料F00397</t>
  </si>
  <si>
    <t>MAT-0131</t>
  </si>
  <si>
    <t>面料F00398</t>
  </si>
  <si>
    <t>MAT-0132</t>
  </si>
  <si>
    <t>MAT-0133</t>
  </si>
  <si>
    <t>MAT-0134</t>
  </si>
  <si>
    <t>MAT-0135</t>
  </si>
  <si>
    <t>MAT-0136</t>
  </si>
  <si>
    <t>MAT-0137</t>
  </si>
  <si>
    <t>面料F00399</t>
  </si>
  <si>
    <t>MAT-0138</t>
  </si>
  <si>
    <t>面料F00400</t>
  </si>
  <si>
    <t>MAT-0139</t>
  </si>
  <si>
    <t>MAT-0140</t>
  </si>
  <si>
    <t>MAT-0141</t>
  </si>
  <si>
    <t>MAT-0142</t>
  </si>
  <si>
    <t>MAT-0143</t>
  </si>
  <si>
    <t>MAT-0144</t>
  </si>
  <si>
    <t>面料F00401</t>
  </si>
  <si>
    <t>MAT-0145</t>
  </si>
  <si>
    <t>面料F00402</t>
  </si>
  <si>
    <t>MAT-0146</t>
  </si>
  <si>
    <t>MAT-0147</t>
  </si>
  <si>
    <t>MAT-0148</t>
  </si>
  <si>
    <t>MAT-0149</t>
  </si>
  <si>
    <t>面料F00364</t>
  </si>
  <si>
    <t>MAT-0150</t>
  </si>
  <si>
    <t>面料F00365</t>
  </si>
  <si>
    <t>MAT-0151</t>
  </si>
  <si>
    <t>MAT-0152</t>
  </si>
  <si>
    <t>MAT-0153</t>
  </si>
  <si>
    <t>MAT-0154</t>
  </si>
  <si>
    <t>面料F00366</t>
  </si>
  <si>
    <t>MAT-0155</t>
  </si>
  <si>
    <t>面料F00367</t>
  </si>
  <si>
    <t>MAT-0156</t>
  </si>
  <si>
    <t>F06153汗布</t>
  </si>
  <si>
    <t>MAT-0157</t>
  </si>
  <si>
    <t>1*1罗文F06154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</si>
  <si>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</si>
  <si>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</si>
  <si>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</si>
  <si>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</si>
  <si>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</si>
  <si>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</si>
  <si>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</si>
  <si>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</si>
  <si>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</si>
  <si>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</si>
  <si>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</si>
  <si>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</si>
  <si>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</si>
  <si>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</si>
  <si>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</si>
  <si>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</si>
  <si>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</si>
  <si>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</si>
  <si>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</si>
  <si>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</si>
  <si>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</si>
  <si>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</si>
  <si>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</si>
  <si>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</si>
  <si>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</si>
  <si>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</si>
  <si>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</si>
  <si>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</si>
  <si>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</si>
  <si>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</si>
  <si>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</si>
  <si>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</si>
  <si>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</si>
  <si>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</si>
  <si>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</si>
  <si>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F06323毛巾布</t>
  </si>
  <si>
    <t>MAT-0193</t>
  </si>
  <si>
    <t>滚边布</t>
  </si>
  <si>
    <t>MAT-0194</t>
  </si>
  <si>
    <t>MAT-0195</t>
  </si>
  <si>
    <t>袋布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</si>
  <si>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</si>
  <si>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</si>
  <si>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</si>
  <si>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</si>
  <si>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</si>
  <si>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</si>
  <si>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</si>
  <si>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</si>
  <si>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</si>
  <si>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</si>
  <si>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</si>
  <si>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</si>
  <si>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</si>
  <si>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经编布</t>
  </si>
  <si>
    <t>MAT-0209</t>
  </si>
  <si>
    <t>雪纺面料</t>
  </si>
  <si>
    <t>MAT-0210</t>
  </si>
  <si>
    <t>面料F00130B</t>
  </si>
  <si>
    <t>MAT-0211</t>
  </si>
  <si>
    <t>面料F00130C</t>
  </si>
  <si>
    <t>MAT-0212</t>
  </si>
  <si>
    <t>MAT-0213</t>
  </si>
  <si>
    <t>MAT-0214</t>
  </si>
  <si>
    <t>MAT-0215</t>
  </si>
  <si>
    <t>MAT-0216</t>
  </si>
  <si>
    <t>MAT-0217</t>
  </si>
  <si>
    <t>MAT-0218</t>
  </si>
  <si>
    <t>面料F01371</t>
  </si>
  <si>
    <t>MAT-0219</t>
  </si>
  <si>
    <t>汗布</t>
  </si>
  <si>
    <t>MAT-0220</t>
  </si>
  <si>
    <t>MAT-0221</t>
  </si>
  <si>
    <t>面料F03871</t>
  </si>
  <si>
    <t>MAT-0222</t>
  </si>
  <si>
    <t>MAT-0223</t>
  </si>
  <si>
    <t>MAT-0224</t>
  </si>
  <si>
    <t>MAT-0225</t>
  </si>
  <si>
    <t>MAT-0226</t>
  </si>
  <si>
    <t>面料F02343</t>
  </si>
  <si>
    <t>MAT-0227</t>
  </si>
  <si>
    <t>面料F03205</t>
  </si>
  <si>
    <t>BOM用料 - 订单需求与损耗计算</t>
  </si>
  <si>
    <t>计划用量 = 订单数量 × 单耗 × (1 + 损耗率)；若源表已有原料数量，可放在“源表需求量”做核对</t>
  </si>
  <si>
    <t>BOM编号</t>
  </si>
  <si>
    <t>规格</t>
  </si>
  <si>
    <t>颜色</t>
  </si>
  <si>
    <t>用量单位</t>
  </si>
  <si>
    <t>单耗</t>
  </si>
  <si>
    <t>损耗率</t>
  </si>
  <si>
    <t>计划用量</t>
  </si>
  <si>
    <t>源表需求量</t>
  </si>
  <si>
    <t>来源</t>
  </si>
  <si>
    <t>BOM-0001</t>
  </si>
  <si>
    <t>生产进度表拆分</t>
  </si>
  <si>
    <t>示例：素材/数量/单耗含 + 时已拆成多行</t>
  </si>
  <si>
    <t>BOM-0002</t>
  </si>
  <si>
    <t>BOM-0003</t>
  </si>
  <si>
    <t>BOM-0004</t>
  </si>
  <si>
    <t>BOM-0005</t>
  </si>
  <si>
    <t>BOM-0006</t>
  </si>
  <si>
    <t>BOM-0007</t>
  </si>
  <si>
    <t>BOM-0008</t>
  </si>
  <si>
    <t>BOM-0009</t>
  </si>
  <si>
    <t>BOM-0010</t>
  </si>
  <si>
    <t>BOM-0011</t>
  </si>
  <si>
    <t>BOM-0012</t>
  </si>
  <si>
    <t>BOM-0013</t>
  </si>
  <si>
    <t>BOM-0014</t>
  </si>
  <si>
    <t>BOM-0015</t>
  </si>
  <si>
    <t>BOM-0016</t>
  </si>
  <si>
    <t>BOM-0017</t>
  </si>
  <si>
    <t>BOM-0018</t>
  </si>
  <si>
    <t>BOM-0019</t>
  </si>
  <si>
    <t>BOM-0020</t>
  </si>
  <si>
    <t>BOM-0021</t>
  </si>
  <si>
    <t>BOM-0022</t>
  </si>
  <si>
    <t>BOM-0023</t>
  </si>
  <si>
    <t>BOM-0024</t>
  </si>
  <si>
    <t>BOM-0025</t>
  </si>
  <si>
    <t>BOM-0026</t>
  </si>
  <si>
    <t>BOM-0027</t>
  </si>
  <si>
    <t>BOM-0028</t>
  </si>
  <si>
    <t>BOM-0029</t>
  </si>
  <si>
    <t>BOM-0030</t>
  </si>
  <si>
    <t>BOM-0031</t>
  </si>
  <si>
    <t>BOM-0032</t>
  </si>
  <si>
    <t>BOM-0033</t>
  </si>
  <si>
    <t>BOM-0034</t>
  </si>
  <si>
    <t>BOM-0035</t>
  </si>
  <si>
    <t>BOM-0036</t>
  </si>
  <si>
    <t>BOM-0037</t>
  </si>
  <si>
    <t>BOM-0038</t>
  </si>
  <si>
    <t>BOM-0039</t>
  </si>
  <si>
    <t>BOM-0040</t>
  </si>
  <si>
    <t>BOM-0041</t>
  </si>
  <si>
    <t>BOM-0042</t>
  </si>
  <si>
    <t>BOM-0043</t>
  </si>
  <si>
    <t>BOM-0044</t>
  </si>
  <si>
    <t>BOM-0045</t>
  </si>
  <si>
    <t>BOM-0046</t>
  </si>
  <si>
    <t>BOM-0047</t>
  </si>
  <si>
    <t>BOM-0048</t>
  </si>
  <si>
    <t>BOM-0049</t>
  </si>
  <si>
    <t>BOM-0050</t>
  </si>
  <si>
    <t>BOM-0051</t>
  </si>
  <si>
    <t>BOM-0052</t>
  </si>
  <si>
    <t>BOM-0053</t>
  </si>
  <si>
    <t>BOM-0054</t>
  </si>
  <si>
    <t>BOM-0055</t>
  </si>
  <si>
    <t>BOM-0056</t>
  </si>
  <si>
    <t>BOM-0057</t>
  </si>
  <si>
    <t>BOM-0058</t>
  </si>
  <si>
    <t>BOM-0059</t>
  </si>
  <si>
    <t>BOM-0060</t>
  </si>
  <si>
    <t>BOM-0061</t>
  </si>
  <si>
    <t>BOM-0062</t>
  </si>
  <si>
    <t>BOM-0063</t>
  </si>
  <si>
    <t>BOM-0064</t>
  </si>
  <si>
    <t>BOM-0065</t>
  </si>
  <si>
    <t>BOM-0066</t>
  </si>
  <si>
    <t>BOM-0067</t>
  </si>
  <si>
    <t>BOM-0068</t>
  </si>
  <si>
    <t>BOM-0069</t>
  </si>
  <si>
    <t>BOM-0070</t>
  </si>
  <si>
    <t>BOM-0071</t>
  </si>
  <si>
    <t>BOM-0072</t>
  </si>
  <si>
    <t>BOM-0073</t>
  </si>
  <si>
    <t>BOM-0074</t>
  </si>
  <si>
    <t>BOM-0075</t>
  </si>
  <si>
    <t>BOM-0076</t>
  </si>
  <si>
    <t>BOM-0077</t>
  </si>
  <si>
    <t>BOM-0078</t>
  </si>
  <si>
    <t>BOM-0079</t>
  </si>
  <si>
    <t>BOM-0080</t>
  </si>
  <si>
    <t>BOM-0081</t>
  </si>
  <si>
    <t>BOM-0082</t>
  </si>
  <si>
    <t>BOM-0083</t>
  </si>
  <si>
    <t>BOM-0084</t>
  </si>
  <si>
    <t>BOM-0085</t>
  </si>
  <si>
    <t>BOM-0086</t>
  </si>
  <si>
    <t>BOM-0087</t>
  </si>
  <si>
    <t>BOM-0088</t>
  </si>
  <si>
    <t>BOM-0089</t>
  </si>
  <si>
    <t>BOM-0090</t>
  </si>
  <si>
    <t>BOM-0091</t>
  </si>
  <si>
    <t>BOM-0092</t>
  </si>
  <si>
    <t>BOM-0093</t>
  </si>
  <si>
    <t>BOM-0094</t>
  </si>
  <si>
    <t>BOM-0095</t>
  </si>
  <si>
    <t>BOM-0096</t>
  </si>
  <si>
    <t>BOM-0097</t>
  </si>
  <si>
    <t>BOM-0098</t>
  </si>
  <si>
    <t>BOM-0099</t>
  </si>
  <si>
    <t>BOM-0100</t>
  </si>
  <si>
    <t>BOM-0101</t>
  </si>
  <si>
    <t>BOM-0102</t>
  </si>
  <si>
    <t>BOM-0103</t>
  </si>
  <si>
    <t>BOM-0104</t>
  </si>
  <si>
    <t>BOM-0105</t>
  </si>
  <si>
    <t>BOM-0106</t>
  </si>
  <si>
    <t>BOM-0107</t>
  </si>
  <si>
    <t>BOM-0108</t>
  </si>
  <si>
    <t>BOM-0109</t>
  </si>
  <si>
    <t>BOM-0110</t>
  </si>
  <si>
    <t>BOM-0111</t>
  </si>
  <si>
    <t>BOM-0112</t>
  </si>
  <si>
    <t>BOM-0113</t>
  </si>
  <si>
    <t>BOM-0114</t>
  </si>
  <si>
    <t>BOM-0115</t>
  </si>
  <si>
    <t>BOM-0116</t>
  </si>
  <si>
    <t>BOM-0117</t>
  </si>
  <si>
    <t>BOM-0118</t>
  </si>
  <si>
    <t>BOM-0119</t>
  </si>
  <si>
    <t>BOM-0120</t>
  </si>
  <si>
    <t>BOM-0121</t>
  </si>
  <si>
    <t>BOM-0122</t>
  </si>
  <si>
    <t>BOM-0123</t>
  </si>
  <si>
    <t>BOM-0124</t>
  </si>
  <si>
    <t>BOM-0125</t>
  </si>
  <si>
    <t>BOM-0126</t>
  </si>
  <si>
    <t>BOM-0127</t>
  </si>
  <si>
    <t>BOM-0128</t>
  </si>
  <si>
    <t>BOM-0129</t>
  </si>
  <si>
    <t>BOM-0130</t>
  </si>
  <si>
    <t>BOM-0131</t>
  </si>
  <si>
    <t>BOM-0132</t>
  </si>
  <si>
    <t>BOM-0133</t>
  </si>
  <si>
    <t>BOM-0134</t>
  </si>
  <si>
    <t>BOM-0135</t>
  </si>
  <si>
    <t>BOM-0136</t>
  </si>
  <si>
    <t>BOM-0137</t>
  </si>
  <si>
    <t>BOM-0138</t>
  </si>
  <si>
    <t>BOM-0139</t>
  </si>
  <si>
    <t>BOM-0140</t>
  </si>
  <si>
    <t>BOM-0141</t>
  </si>
  <si>
    <t>BOM-0142</t>
  </si>
  <si>
    <t>BOM-0143</t>
  </si>
  <si>
    <t>BOM-0144</t>
  </si>
  <si>
    <t>BOM-0145</t>
  </si>
  <si>
    <t>BOM-0146</t>
  </si>
  <si>
    <t>BOM-0147</t>
  </si>
  <si>
    <t>BOM-0148</t>
  </si>
  <si>
    <t>BOM-0149</t>
  </si>
  <si>
    <t>BOM-0150</t>
  </si>
  <si>
    <t>BOM-0151</t>
  </si>
  <si>
    <t>BOM-0152</t>
  </si>
  <si>
    <t>BOM-0153</t>
  </si>
  <si>
    <t>BOM-0154</t>
  </si>
  <si>
    <t>BOM-0155</t>
  </si>
  <si>
    <t>BOM-0156</t>
  </si>
  <si>
    <t>BOM-0157</t>
  </si>
  <si>
    <t>BOM-0158</t>
  </si>
  <si>
    <t>BOM-0159</t>
  </si>
  <si>
    <t>BOM-0160</t>
  </si>
  <si>
    <t>BOM-0161</t>
  </si>
  <si>
    <t>BOM-0162</t>
  </si>
  <si>
    <t>BOM-0163</t>
  </si>
  <si>
    <t>BOM-0164</t>
  </si>
  <si>
    <t>BOM-0165</t>
  </si>
  <si>
    <t>BOM-0166</t>
  </si>
  <si>
    <t>BOM-0167</t>
  </si>
  <si>
    <t>BOM-0168</t>
  </si>
  <si>
    <t>BOM-0169</t>
  </si>
  <si>
    <t>BOM-0170</t>
  </si>
  <si>
    <t>BOM-0171</t>
  </si>
  <si>
    <t>BOM-0172</t>
  </si>
  <si>
    <t>BOM-0173</t>
  </si>
  <si>
    <t>BOM-0174</t>
  </si>
  <si>
    <t>BOM-0175</t>
  </si>
  <si>
    <t>BOM-0176</t>
  </si>
  <si>
    <t>BOM-0177</t>
  </si>
  <si>
    <t>BOM-0178</t>
  </si>
  <si>
    <t>BOM-0179</t>
  </si>
  <si>
    <t>BOM-0180</t>
  </si>
  <si>
    <t>BOM-0181</t>
  </si>
  <si>
    <t>BOM-0182</t>
  </si>
  <si>
    <t>BOM-0183</t>
  </si>
  <si>
    <t>BOM-0184</t>
  </si>
  <si>
    <t>BOM-0185</t>
  </si>
  <si>
    <t>BOM-0186</t>
  </si>
  <si>
    <t>BOM-0187</t>
  </si>
  <si>
    <t>BOM-0188</t>
  </si>
  <si>
    <t>BOM-0189</t>
  </si>
  <si>
    <t>BOM-0190</t>
  </si>
  <si>
    <t>BOM-0191</t>
  </si>
  <si>
    <t>BOM-0192</t>
  </si>
  <si>
    <t>BOM-0193</t>
  </si>
  <si>
    <t>BOM-0194</t>
  </si>
  <si>
    <t>BOM-0195</t>
  </si>
  <si>
    <t>BOM-0196</t>
  </si>
  <si>
    <t>BOM-0197</t>
  </si>
  <si>
    <t>BOM-0198</t>
  </si>
  <si>
    <t>BOM-0199</t>
  </si>
  <si>
    <t>BOM-0200</t>
  </si>
  <si>
    <t>BOM-0201</t>
  </si>
  <si>
    <t>BOM-0202</t>
  </si>
  <si>
    <t>BOM-0203</t>
  </si>
  <si>
    <t>BOM-0204</t>
  </si>
  <si>
    <t>BOM-0205</t>
  </si>
  <si>
    <t>BOM-0206</t>
  </si>
  <si>
    <t>BOM-0207</t>
  </si>
  <si>
    <t>BOM-0208</t>
  </si>
  <si>
    <t>BOM-0209</t>
  </si>
  <si>
    <t>BOM-0210</t>
  </si>
  <si>
    <t>BOM-0211</t>
  </si>
  <si>
    <t>BOM-0212</t>
  </si>
  <si>
    <t>BOM-0213</t>
  </si>
  <si>
    <t>BOM-0214</t>
  </si>
  <si>
    <t>BOM-0215</t>
  </si>
  <si>
    <t>BOM-0216</t>
  </si>
  <si>
    <t>BOM-0217</t>
  </si>
  <si>
    <t>BOM-0218</t>
  </si>
  <si>
    <t>BOM-0219</t>
  </si>
  <si>
    <t>BOM-0220</t>
  </si>
  <si>
    <t>BOM-0221</t>
  </si>
  <si>
    <t>BOM-0222</t>
  </si>
  <si>
    <t>BOM-0223</t>
  </si>
  <si>
    <t>BOM-0224</t>
  </si>
  <si>
    <t>BOM-0225</t>
  </si>
  <si>
    <t>BOM-0226</t>
  </si>
  <si>
    <t>BOM-0227</t>
  </si>
  <si>
    <t>入库明细 - 采购/退料/调拨/盘盈</t>
  </si>
  <si>
    <t>填原单位和数量，系统按物料档案的库存主单位与单位换算表折算；质检不合格可不计可用库存</t>
  </si>
  <si>
    <t>入库单号</t>
  </si>
  <si>
    <t>入库日期</t>
  </si>
  <si>
    <t>入库类型</t>
  </si>
  <si>
    <t>来源/供应商</t>
  </si>
  <si>
    <t>批次/色号</t>
  </si>
  <si>
    <t>原单位</t>
  </si>
  <si>
    <t>入库数量</t>
  </si>
  <si>
    <t>换算系数</t>
  </si>
  <si>
    <t>主单位数量</t>
  </si>
  <si>
    <t>库位</t>
  </si>
  <si>
    <t>质检状态</t>
  </si>
  <si>
    <t>IN-0001</t>
  </si>
  <si>
    <t>2026-06-16</t>
  </si>
  <si>
    <t>采购入库</t>
  </si>
  <si>
    <t>待检</t>
  </si>
  <si>
    <t>IN-0002</t>
  </si>
  <si>
    <t>生产进度到料</t>
  </si>
  <si>
    <t>IN-0003</t>
  </si>
  <si>
    <t>IN-0004</t>
  </si>
  <si>
    <t>IN-0005</t>
  </si>
  <si>
    <t>IN-0006</t>
  </si>
  <si>
    <t>IN-0007</t>
  </si>
  <si>
    <t>IN-0008</t>
  </si>
  <si>
    <t>IN-0009</t>
  </si>
  <si>
    <t>IN-0010</t>
  </si>
  <si>
    <t>IN-0011</t>
  </si>
  <si>
    <t>IN-0012</t>
  </si>
  <si>
    <t>IN-0013</t>
  </si>
  <si>
    <t>IN-0014</t>
  </si>
  <si>
    <t>IN-0015</t>
  </si>
  <si>
    <t>IN-0016</t>
  </si>
  <si>
    <t>IN-0017</t>
  </si>
  <si>
    <t>IN-0018</t>
  </si>
  <si>
    <t>IN-0019</t>
  </si>
  <si>
    <t>IN-0020</t>
  </si>
  <si>
    <t>出库明细 - 横机 / 裁剪 / 缝制 / 后道领料</t>
  </si>
  <si>
    <t>按工序登记领料；纱线多为横机领料，面料多为裁剪领料，辅料多为缝制/后道领料</t>
  </si>
  <si>
    <t>出库单号</t>
  </si>
  <si>
    <t>出库日期</t>
  </si>
  <si>
    <t>领用工序</t>
  </si>
  <si>
    <t>去向/工厂</t>
  </si>
  <si>
    <t>出库数量</t>
  </si>
  <si>
    <t>用途/裁片/床次</t>
  </si>
  <si>
    <t>负责人</t>
  </si>
  <si>
    <t>OUT-0001</t>
  </si>
  <si>
    <t>横机领料</t>
  </si>
  <si>
    <t>横机车间</t>
  </si>
  <si>
    <t>按订单领料</t>
  </si>
  <si>
    <t>OUT-0002</t>
  </si>
  <si>
    <t>裁剪领料</t>
  </si>
  <si>
    <t>裁剪/缝制车间</t>
  </si>
  <si>
    <t>裁片/辅料领用</t>
  </si>
  <si>
    <t>OUT-0003</t>
  </si>
  <si>
    <t>缝制辅料</t>
  </si>
  <si>
    <t>OUT-0004</t>
  </si>
  <si>
    <t>后道领料</t>
  </si>
  <si>
    <t>OUT-0005</t>
  </si>
  <si>
    <t>样衣领料</t>
  </si>
  <si>
    <t>OUT-0006</t>
  </si>
  <si>
    <t>OUT-0007</t>
  </si>
  <si>
    <t>OUT-0008</t>
  </si>
  <si>
    <t>OUT-0009</t>
  </si>
  <si>
    <t>OUT-0010</t>
  </si>
  <si>
    <t>OUT-0011</t>
  </si>
  <si>
    <t>OUT-0012</t>
  </si>
  <si>
    <t>OUT-0013</t>
  </si>
  <si>
    <t>OUT-0014</t>
  </si>
  <si>
    <t>OUT-0015</t>
  </si>
  <si>
    <t>OUT-0016</t>
  </si>
  <si>
    <t>OUT-0017</t>
  </si>
  <si>
    <t>OUT-0018</t>
  </si>
  <si>
    <t>库存总账 - 自动汇总库存、订单需求和预警</t>
  </si>
  <si>
    <t>可用库存 = 合格入库 - 出库；预警综合负库存、安全库存、订单缺料和采购提前期</t>
  </si>
  <si>
    <t>可用缺口</t>
  </si>
  <si>
    <t>建议补货量</t>
  </si>
  <si>
    <t>单位换算 - 原单位折算为库存主单位</t>
  </si>
  <si>
    <t>出入库数量 × 换算系数 = 主单位数量；若卷/包规格不固定，建议入库时直接填实际 KG/M/PCS</t>
  </si>
  <si>
    <t>换算键</t>
  </si>
  <si>
    <t>说明</t>
  </si>
  <si>
    <t>KG|KG</t>
  </si>
  <si>
    <t>纱线主单位</t>
  </si>
  <si>
    <t>G</t>
  </si>
  <si>
    <t>G|KG</t>
  </si>
  <si>
    <t>克转千克</t>
  </si>
  <si>
    <t>M|M</t>
  </si>
  <si>
    <t>面料米数主单位</t>
  </si>
  <si>
    <t>Y</t>
  </si>
  <si>
    <t>Y|M</t>
  </si>
  <si>
    <t>码转米</t>
  </si>
  <si>
    <t>PCS|PCS</t>
  </si>
  <si>
    <t>件数主单位</t>
  </si>
  <si>
    <t>件</t>
  </si>
  <si>
    <t>件|PCS</t>
  </si>
  <si>
    <t>中文件数</t>
  </si>
  <si>
    <t>包</t>
  </si>
  <si>
    <t>包|PCS</t>
  </si>
  <si>
    <t>按每包 100 件示例，可修改</t>
  </si>
  <si>
    <t>卷</t>
  </si>
  <si>
    <t>卷|M</t>
  </si>
  <si>
    <t>按每卷 50 米示例，可按物料修改</t>
  </si>
  <si>
    <t>筒</t>
  </si>
  <si>
    <t>筒|KG</t>
  </si>
  <si>
    <t>纱线筒重不固定时，在入库行手工填 KG</t>
  </si>
  <si>
    <t>字段关联说明 - 生产进度表到仓库表</t>
  </si>
  <si>
    <t>生产进度表字段</t>
  </si>
  <si>
    <t>进入仓库表</t>
  </si>
  <si>
    <t>用途</t>
  </si>
  <si>
    <t>是否必填</t>
  </si>
  <si>
    <t>建议</t>
  </si>
  <si>
    <t>订单主数据、BOM、入库、出库</t>
  </si>
  <si>
    <t>订单级关联键</t>
  </si>
  <si>
    <t>建议必填</t>
  </si>
  <si>
    <t>没有销售单号时可临时用品番/样品款号</t>
  </si>
  <si>
    <t>后续最好统一生成订单号</t>
  </si>
  <si>
    <t>大货款号/品番</t>
  </si>
  <si>
    <t>订单主数据、BOM、出入库</t>
  </si>
  <si>
    <t>款式级关联键</t>
  </si>
  <si>
    <t>必填</t>
  </si>
  <si>
    <t>同一订单多款时靠品番区分</t>
  </si>
  <si>
    <t>保持与生产进度表一致</t>
  </si>
  <si>
    <t>BOM用料、物料档案</t>
  </si>
  <si>
    <t>拆分纱线/面料/辅料</t>
  </si>
  <si>
    <t>含 + 时拆成多行物料</t>
  </si>
  <si>
    <t>建议后续维护标准物料编码</t>
  </si>
  <si>
    <t>物料档案、入库明细</t>
  </si>
  <si>
    <t>采购来源</t>
  </si>
  <si>
    <t>支持多供应商时写默认供应商</t>
  </si>
  <si>
    <t>入库时可覆盖</t>
  </si>
  <si>
    <t>原料数量</t>
  </si>
  <si>
    <t>BOM源表需求量、入库参考</t>
  </si>
  <si>
    <t>采购/到料核对</t>
  </si>
  <si>
    <t>源表中 980+10 会拆成多行</t>
  </si>
  <si>
    <t>与计划用量对比差异</t>
  </si>
  <si>
    <t>单位</t>
  </si>
  <si>
    <t>BOM用量单位、出入库原单位</t>
  </si>
  <si>
    <t>单位换算</t>
  </si>
  <si>
    <t>支持 KG/M/Y/PCS/件/卷/包</t>
  </si>
  <si>
    <t>不固定包装用实际主单位录入</t>
  </si>
  <si>
    <t>BOM计划用量</t>
  </si>
  <si>
    <t>需求计算</t>
  </si>
  <si>
    <t>计划用量=订单数量*单耗*(1+损耗率)</t>
  </si>
  <si>
    <t>损耗率按物料类型默认可改</t>
  </si>
  <si>
    <t>材料需求</t>
  </si>
  <si>
    <t>含 + 时跟素材拆分</t>
  </si>
  <si>
    <t>纱线、罗纹、主面料分别维护</t>
  </si>
  <si>
    <t>原料到库日期/辅料到库日期</t>
  </si>
  <si>
    <t>入库计划与预警</t>
  </si>
  <si>
    <t>到料跟踪</t>
  </si>
  <si>
    <t>可用于延期预警</t>
  </si>
  <si>
    <t>后续可增加 ETA 与逾期天数</t>
  </si>
  <si>
    <t>毛衫工厂/服装工厂/后道工厂</t>
  </si>
  <si>
    <t>出库去向</t>
  </si>
  <si>
    <t>工序领料</t>
  </si>
  <si>
    <t>横机、裁剪、缝制、后道对应领料去向</t>
  </si>
  <si>
    <t>利于追踪外发库存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</si>
</sst>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"/>
    <numFmt numFmtId="178" formatCode="yyyy\-mm\-dd"/>
    <numFmt numFmtId="179" formatCode="0.0%"/>
  </numFmts>
  <fonts count="26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17324D"/>
      <name val="Carlito"/>
      <charset val="134"/>
    </font>
    <font>
      <sz val="11"/>
      <color rgb="FF111827"/>
      <name val="Carlito"/>
      <charset val="134"/>
    </font>
    <font>
      <b/>
      <sz val="16"/>
      <color rgb="FF17324D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9F0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/>
    </xf>
    <xf numFmtId="0" fontId="0" fillId="0" borderId="1" xfId="49" applyNumberFormat="1" applyFont="1" applyFill="1" applyBorder="1"/>
    <xf numFmtId="0" fontId="3" fillId="4" borderId="0" xfId="49" applyNumberFormat="1" applyFont="1" applyFill="1" applyBorder="1" applyAlignment="1">
      <alignment horizontal="left"/>
    </xf>
    <xf numFmtId="0" fontId="2" fillId="3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vertical="center" wrapText="1"/>
    </xf>
    <xf numFmtId="176" fontId="4" fillId="0" borderId="1" xfId="49" applyNumberFormat="1" applyFont="1" applyFill="1" applyBorder="1" applyAlignment="1">
      <alignment vertical="center" wrapText="1"/>
    </xf>
    <xf numFmtId="176" fontId="0" fillId="0" borderId="0" xfId="49" applyNumberFormat="1" applyFont="1" applyFill="1" applyBorder="1"/>
    <xf numFmtId="177" fontId="4" fillId="0" borderId="1" xfId="49" applyNumberFormat="1" applyFont="1" applyFill="1" applyBorder="1" applyAlignment="1">
      <alignment vertical="center" wrapText="1"/>
    </xf>
    <xf numFmtId="1" fontId="4" fillId="0" borderId="1" xfId="49" applyNumberFormat="1" applyFont="1" applyFill="1" applyBorder="1" applyAlignment="1">
      <alignment vertical="center" wrapText="1"/>
    </xf>
    <xf numFmtId="178" fontId="4" fillId="0" borderId="1" xfId="49" applyNumberFormat="1" applyFont="1" applyFill="1" applyBorder="1" applyAlignment="1">
      <alignment vertical="center" wrapText="1"/>
    </xf>
    <xf numFmtId="178" fontId="0" fillId="0" borderId="0" xfId="49" applyNumberFormat="1" applyFont="1" applyFill="1" applyBorder="1"/>
    <xf numFmtId="177" fontId="0" fillId="0" borderId="0" xfId="49" applyNumberFormat="1" applyFont="1" applyFill="1" applyBorder="1"/>
    <xf numFmtId="179" fontId="4" fillId="0" borderId="1" xfId="49" applyNumberFormat="1" applyFont="1" applyFill="1" applyBorder="1" applyAlignment="1">
      <alignment vertical="center" wrapText="1"/>
    </xf>
    <xf numFmtId="179" fontId="0" fillId="0" borderId="0" xfId="49" applyNumberFormat="1" applyFont="1" applyFill="1" applyBorder="1"/>
    <xf numFmtId="1" fontId="0" fillId="0" borderId="0" xfId="49" applyNumberFormat="1" applyFont="1" applyFill="1" applyBorder="1"/>
    <xf numFmtId="0" fontId="3" fillId="4" borderId="1" xfId="49" applyNumberFormat="1" applyFont="1" applyFill="1" applyBorder="1" applyAlignment="1">
      <alignment horizontal="center"/>
    </xf>
    <xf numFmtId="0" fontId="5" fillId="5" borderId="1" xfId="49" applyNumberFormat="1" applyFont="1" applyFill="1" applyBorder="1" applyAlignment="1">
      <alignment horizontal="center"/>
    </xf>
    <xf numFmtId="177" fontId="0" fillId="0" borderId="1" xfId="49" applyNumberFormat="1" applyFont="1" applyFill="1" applyBorder="1"/>
    <xf numFmtId="1" fontId="0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DC2626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9A3412"/>
      </font>
      <fill>
        <patternFill patternType="solid">
          <bgColor rgb="FFFFEDD5"/>
        </patternFill>
      </fill>
    </dxf>
    <dxf>
      <font>
        <color rgb="FF16A34A"/>
      </font>
      <fill>
        <patternFill patternType="solid">
          <bgColor rgb="FFDCFCE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订单需求、入库、出库与库存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"订单需求"</c:f>
              <c:strCache>
                <c:ptCount val="1"/>
                <c:pt idx="0">
                  <c:v>订单需求</c:v>
                </c:pt>
              </c:strCache>
            </c:strRef>
          </c:tx>
          <c:invertIfNegative val="0"/>
          <c:dLbls>
            <c:delete val="1"/>
          </c:dLbls>
          <c:cat>
            <c:strRef>
              <c:f>库存看板!$A$10:$A$12</c:f>
              <c:strCache>
                <c:ptCount val="3"/>
                <c:pt idx="0">
                  <c:v>纱线</c:v>
                </c:pt>
                <c:pt idx="1">
                  <c:v>面料</c:v>
                </c:pt>
                <c:pt idx="2">
                  <c:v>辅料</c:v>
                </c:pt>
              </c:strCache>
            </c:strRef>
          </c:cat>
          <c:val>
            <c:numRef>
              <c:f>库存看板!$B$10:$B$12</c:f>
              <c:numCache>
                <c:formatCode>0.000</c:formatCode>
                <c:ptCount val="3"/>
                <c:pt idx="0">
                  <c:v>9747.9406</c:v>
                </c:pt>
                <c:pt idx="1">
                  <c:v>42172.76175</c:v>
                </c:pt>
                <c:pt idx="2">
                  <c:v>2709.315</c:v>
                </c:pt>
              </c:numCache>
            </c:numRef>
          </c:val>
        </c:ser>
        <c:ser>
          <c:idx val="1"/>
          <c:order val="1"/>
          <c:tx>
            <c:strRef>
              <c:f>"合格入库"</c:f>
              <c:strCache>
                <c:ptCount val="1"/>
                <c:pt idx="0">
                  <c:v>合格入库</c:v>
                </c:pt>
              </c:strCache>
            </c:strRef>
          </c:tx>
          <c:invertIfNegative val="0"/>
          <c:dLbls>
            <c:delete val="1"/>
          </c:dLbls>
          <c:cat>
            <c:strRef>
              <c:f>库存看板!$A$10:$A$12</c:f>
              <c:strCache>
                <c:ptCount val="3"/>
                <c:pt idx="0">
                  <c:v>纱线</c:v>
                </c:pt>
                <c:pt idx="1">
                  <c:v>面料</c:v>
                </c:pt>
                <c:pt idx="2">
                  <c:v>辅料</c:v>
                </c:pt>
              </c:strCache>
            </c:strRef>
          </c:cat>
          <c:val>
            <c:numRef>
              <c:f>库存看板!$C$10:$C$12</c:f>
              <c:numCache>
                <c:formatCode>0.000</c:formatCode>
                <c:ptCount val="3"/>
                <c:pt idx="0">
                  <c:v>2009.65</c:v>
                </c:pt>
                <c:pt idx="1">
                  <c:v>12769.1</c:v>
                </c:pt>
                <c:pt idx="2">
                  <c:v>7.8</c:v>
                </c:pt>
              </c:numCache>
            </c:numRef>
          </c:val>
        </c:ser>
        <c:ser>
          <c:idx val="2"/>
          <c:order val="2"/>
          <c:tx>
            <c:strRef>
              <c:f>"已出库"</c:f>
              <c:strCache>
                <c:ptCount val="1"/>
                <c:pt idx="0">
                  <c:v>已出库</c:v>
                </c:pt>
              </c:strCache>
            </c:strRef>
          </c:tx>
          <c:invertIfNegative val="0"/>
          <c:dLbls>
            <c:delete val="1"/>
          </c:dLbls>
          <c:cat>
            <c:strRef>
              <c:f>库存看板!$A$10:$A$12</c:f>
              <c:strCache>
                <c:ptCount val="3"/>
                <c:pt idx="0">
                  <c:v>纱线</c:v>
                </c:pt>
                <c:pt idx="1">
                  <c:v>面料</c:v>
                </c:pt>
                <c:pt idx="2">
                  <c:v>辅料</c:v>
                </c:pt>
              </c:strCache>
            </c:strRef>
          </c:cat>
          <c:val>
            <c:numRef>
              <c:f>库存看板!$D$10:$D$12</c:f>
              <c:numCache>
                <c:formatCode>0.000</c:formatCode>
                <c:ptCount val="3"/>
                <c:pt idx="0">
                  <c:v>614.185</c:v>
                </c:pt>
                <c:pt idx="1">
                  <c:v>1833.547</c:v>
                </c:pt>
                <c:pt idx="2">
                  <c:v>3.51</c:v>
                </c:pt>
              </c:numCache>
            </c:numRef>
          </c:val>
        </c:ser>
        <c:ser>
          <c:idx val="3"/>
          <c:order val="3"/>
          <c:tx>
            <c:strRef>
              <c:f>"账面库存"</c:f>
              <c:strCache>
                <c:ptCount val="1"/>
                <c:pt idx="0">
                  <c:v>账面库存</c:v>
                </c:pt>
              </c:strCache>
            </c:strRef>
          </c:tx>
          <c:invertIfNegative val="0"/>
          <c:dLbls>
            <c:delete val="1"/>
          </c:dLbls>
          <c:cat>
            <c:strRef>
              <c:f>库存看板!$A$10:$A$12</c:f>
              <c:strCache>
                <c:ptCount val="3"/>
                <c:pt idx="0">
                  <c:v>纱线</c:v>
                </c:pt>
                <c:pt idx="1">
                  <c:v>面料</c:v>
                </c:pt>
                <c:pt idx="2">
                  <c:v>辅料</c:v>
                </c:pt>
              </c:strCache>
            </c:strRef>
          </c:cat>
          <c:val>
            <c:numRef>
              <c:f>库存看板!$E$10:$E$12</c:f>
              <c:numCache>
                <c:formatCode>0.000</c:formatCode>
                <c:ptCount val="3"/>
                <c:pt idx="0">
                  <c:v>1395.465</c:v>
                </c:pt>
                <c:pt idx="1">
                  <c:v>10935.553</c:v>
                </c:pt>
                <c:pt idx="2">
                  <c:v>4.29</c:v>
                </c:pt>
              </c:numCache>
            </c:numRef>
          </c:val>
        </c:ser>
        <c:ser>
          <c:idx val="4"/>
          <c:order val="4"/>
          <c:tx>
            <c:strRef>
              <c:f>"预警数"</c:f>
              <c:strCache>
                <c:ptCount val="1"/>
                <c:pt idx="0">
                  <c:v>预警数</c:v>
                </c:pt>
              </c:strCache>
            </c:strRef>
          </c:tx>
          <c:invertIfNegative val="0"/>
          <c:dLbls>
            <c:delete val="1"/>
          </c:dLbls>
          <c:cat>
            <c:strRef>
              <c:f>库存看板!$A$10:$A$12</c:f>
              <c:strCache>
                <c:ptCount val="3"/>
                <c:pt idx="0">
                  <c:v>纱线</c:v>
                </c:pt>
                <c:pt idx="1">
                  <c:v>面料</c:v>
                </c:pt>
                <c:pt idx="2">
                  <c:v>辅料</c:v>
                </c:pt>
              </c:strCache>
            </c:strRef>
          </c:cat>
          <c:val>
            <c:numRef>
              <c:f>库存看板!$F$10:$F$12</c:f>
              <c:numCache>
                <c:formatCode>0</c:formatCode>
                <c:ptCount val="3"/>
                <c:pt idx="0">
                  <c:v>56</c:v>
                </c:pt>
                <c:pt idx="1">
                  <c:v>95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9f7892-d4aa-425e-ba07-322345ed2f76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14</xdr:row>
      <xdr:rowOff>0</xdr:rowOff>
    </xdr:from>
    <xdr:to>
      <xdr:col>6</xdr:col>
      <xdr:colOff>0</xdr:colOff>
      <xdr:row>30</xdr:row>
      <xdr:rowOff>0</xdr:rowOff>
    </xdr:to>
    <xdr:graphicFrame>
      <xdr:nvGraphicFramePr>
        <xdr:cNvPr id="2" name="Chart"/>
        <xdr:cNvGraphicFramePr/>
      </xdr:nvGraphicFramePr>
      <xdr:xfrm>
        <a:off x="0" y="2693670"/>
        <a:ext cx="5715000" cy="280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Table" displayName="OrdersTable" ref="A4:T84">
  <autoFilter xmlns:etc="http://www.wps.cn/officeDocument/2017/etCustomData" ref="A4:T84" etc:filterBottomFollowUsedRange="0"/>
  <tableColumns count="20">
    <tableColumn id="1" name="来源表"/>
    <tableColumn id="2" name="业务员"/>
    <tableColumn id="3" name="登记日期"/>
    <tableColumn id="4" name="客户"/>
    <tableColumn id="5" name="品牌"/>
    <tableColumn id="6" name="合同/销售单号"/>
    <tableColumn id="7" name="品番"/>
    <tableColumn id="8" name="样品款号"/>
    <tableColumn id="9" name="款式"/>
    <tableColumn id="10" name="素材"/>
    <tableColumn id="11" name="供应商"/>
    <tableColumn id="12" name="订单数量"/>
    <tableColumn id="13" name="船期"/>
    <tableColumn id="14" name="材料采购状态"/>
    <tableColumn id="15" name="原料到库日期"/>
    <tableColumn id="16" name="辅料到库日期"/>
    <tableColumn id="17" name="横机/毛衫工厂"/>
    <tableColumn id="18" name="缝制/服装工厂"/>
    <tableColumn id="19" name="后道工厂"/>
    <tableColumn id="2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terialsTable" displayName="MaterialsTable" ref="A4:M231">
  <autoFilter xmlns:etc="http://www.wps.cn/officeDocument/2017/etCustomData" ref="A4:M231" etc:filterBottomFollowUsedRange="0"/>
  <tableColumns count="13">
    <tableColumn id="1" name="物料编码"/>
    <tableColumn id="2" name="物料名称"/>
    <tableColumn id="3" name="物料类型"/>
    <tableColumn id="4" name="规格/纱支/门幅"/>
    <tableColumn id="5" name="颜色/缸号"/>
    <tableColumn id="6" name="默认供应商"/>
    <tableColumn id="7" name="库存主单位"/>
    <tableColumn id="8" name="安全库存"/>
    <tableColumn id="9" name="采购提前期(天)"/>
    <tableColumn id="10" name="默认库位"/>
    <tableColumn id="11" name="状态"/>
    <tableColumn id="12" name="替代料"/>
    <tableColumn id="13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omTable" displayName="BomTable" ref="A4:R231">
  <autoFilter xmlns:etc="http://www.wps.cn/officeDocument/2017/etCustomData" ref="A4:R231" etc:filterBottomFollowUsedRange="0"/>
  <tableColumns count="18">
    <tableColumn id="1" name="BOM编号"/>
    <tableColumn id="2" name="合同/销售单号"/>
    <tableColumn id="3" name="品番"/>
    <tableColumn id="4" name="款式"/>
    <tableColumn id="5" name="物料编码"/>
    <tableColumn id="6" name="物料名称"/>
    <tableColumn id="7" name="物料类型"/>
    <tableColumn id="8" name="规格"/>
    <tableColumn id="9" name="颜色"/>
    <tableColumn id="10" name="用量单位"/>
    <tableColumn id="11" name="单耗"/>
    <tableColumn id="12" name="订单数量"/>
    <tableColumn id="13" name="损耗率"/>
    <tableColumn id="14" name="计划用量"/>
    <tableColumn id="15" name="源表需求量"/>
    <tableColumn id="16" name="供应商"/>
    <tableColumn id="17" name="来源"/>
    <tableColumn id="18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InTable" displayName="InTable" ref="A4:R24">
  <autoFilter xmlns:etc="http://www.wps.cn/officeDocument/2017/etCustomData" ref="A4:R24" etc:filterBottomFollowUsedRange="0"/>
  <tableColumns count="18">
    <tableColumn id="1" name="入库单号"/>
    <tableColumn id="2" name="入库日期"/>
    <tableColumn id="3" name="入库类型"/>
    <tableColumn id="4" name="来源/供应商"/>
    <tableColumn id="5" name="合同/销售单号"/>
    <tableColumn id="6" name="品番"/>
    <tableColumn id="7" name="物料编码"/>
    <tableColumn id="8" name="物料名称"/>
    <tableColumn id="9" name="物料类型"/>
    <tableColumn id="10" name="批次/色号"/>
    <tableColumn id="11" name="原单位"/>
    <tableColumn id="12" name="入库数量"/>
    <tableColumn id="13" name="库存主单位"/>
    <tableColumn id="14" name="换算系数"/>
    <tableColumn id="15" name="主单位数量"/>
    <tableColumn id="16" name="库位"/>
    <tableColumn id="17" name="质检状态"/>
    <tableColumn id="18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OutTable" displayName="OutTable" ref="A4:R22">
  <autoFilter xmlns:etc="http://www.wps.cn/officeDocument/2017/etCustomData" ref="A4:R22" etc:filterBottomFollowUsedRange="0"/>
  <tableColumns count="18">
    <tableColumn id="1" name="出库单号"/>
    <tableColumn id="2" name="出库日期"/>
    <tableColumn id="3" name="领用工序"/>
    <tableColumn id="4" name="去向/工厂"/>
    <tableColumn id="5" name="合同/销售单号"/>
    <tableColumn id="6" name="品番"/>
    <tableColumn id="7" name="物料编码"/>
    <tableColumn id="8" name="物料名称"/>
    <tableColumn id="9" name="物料类型"/>
    <tableColumn id="10" name="批次/色号"/>
    <tableColumn id="11" name="原单位"/>
    <tableColumn id="12" name="出库数量"/>
    <tableColumn id="13" name="库存主单位"/>
    <tableColumn id="14" name="换算系数"/>
    <tableColumn id="15" name="主单位数量"/>
    <tableColumn id="16" name="用途/裁片/床次"/>
    <tableColumn id="17" name="负责人"/>
    <tableColumn id="18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StockTable" displayName="StockTable" ref="A4:O164">
  <autoFilter xmlns:etc="http://www.wps.cn/officeDocument/2017/etCustomData" ref="A4:O164" etc:filterBottomFollowUsedRange="0"/>
  <tableColumns count="15">
    <tableColumn id="1" name="物料编码"/>
    <tableColumn id="2" name="物料名称"/>
    <tableColumn id="3" name="物料类型"/>
    <tableColumn id="4" name="库存主单位"/>
    <tableColumn id="5" name="安全库存"/>
    <tableColumn id="6" name="订单需求"/>
    <tableColumn id="7" name="合格入库"/>
    <tableColumn id="8" name="已出库"/>
    <tableColumn id="9" name="账面库存"/>
    <tableColumn id="10" name="可用缺口"/>
    <tableColumn id="11" name="预警状态"/>
    <tableColumn id="12" name="建议补货量"/>
    <tableColumn id="13" name="采购提前期(天)"/>
    <tableColumn id="14" name="库位"/>
    <tableColumn id="15" name="默认供应商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4" name="UnitTable" displayName="UnitTable" ref="A4:E13">
  <autoFilter xmlns:etc="http://www.wps.cn/officeDocument/2017/etCustomData" ref="A4:E13" etc:filterBottomFollowUsedRange="0"/>
  <tableColumns count="5">
    <tableColumn id="1" name="原单位"/>
    <tableColumn id="2" name="库存主单位"/>
    <tableColumn id="3" name="换算键"/>
    <tableColumn id="4" name="换算系数"/>
    <tableColumn id="5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showGridLines="0" tabSelected="1" workbookViewId="0">
      <selection activeCell="E36" sqref="E36"/>
    </sheetView>
  </sheetViews>
  <sheetFormatPr defaultColWidth="9" defaultRowHeight="13.8"/>
  <cols>
    <col min="1" max="6" width="12.5" customWidth="1"/>
    <col min="7" max="7" width="2.5" customWidth="1"/>
    <col min="8" max="8" width="11.25" customWidth="1"/>
    <col min="9" max="9" width="27.5" customWidth="1"/>
    <col min="10" max="10" width="8.75" customWidth="1"/>
    <col min="11" max="12" width="11.25" customWidth="1"/>
    <col min="13" max="13" width="12.5" customWidth="1"/>
    <col min="14" max="14" width="11.25" customWidth="1"/>
  </cols>
  <sheetData>
    <row r="1" ht="25.5" customHeight="1" spans="1:1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</row>
    <row r="3" spans="1:14">
      <c r="A3" s="4" t="s">
        <v>1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</row>
    <row r="5" spans="1:4">
      <c r="A5" s="17" t="s">
        <v>2</v>
      </c>
      <c r="B5" s="17" t="s">
        <v>3</v>
      </c>
      <c r="C5" s="17" t="s">
        <v>4</v>
      </c>
      <c r="D5" s="17" t="s">
        <v>5</v>
      </c>
    </row>
    <row r="6" ht="21" spans="1:4">
      <c r="A6" s="18">
        <f>COUNTA(库存总账!$A$5:$A$164)</f>
        <v>160</v>
      </c>
      <c r="B6" s="18">
        <f>COUNTIF(库存总账!$K$5:$K$164,"&lt;&gt;正常")</f>
        <v>154</v>
      </c>
      <c r="C6" s="18">
        <f>COUNTIF(库存总账!$K$5:$K$164,"订单缺料")</f>
        <v>5</v>
      </c>
      <c r="D6" s="18">
        <f>COUNTIF(库存总账!$K$5:$K$164,"负库存")</f>
        <v>0</v>
      </c>
    </row>
    <row r="8" spans="1:14">
      <c r="A8" s="4" t="s">
        <v>6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  <c r="H8" s="4" t="s">
        <v>7</v>
      </c>
      <c r="I8" s="4" t="s">
        <v>7</v>
      </c>
      <c r="J8" s="4" t="s">
        <v>7</v>
      </c>
      <c r="K8" s="4" t="s">
        <v>7</v>
      </c>
      <c r="L8" s="4" t="s">
        <v>7</v>
      </c>
      <c r="M8" s="4" t="s">
        <v>7</v>
      </c>
      <c r="N8" s="4" t="s">
        <v>7</v>
      </c>
    </row>
    <row r="9" spans="1:14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9</v>
      </c>
      <c r="M9" s="2" t="s">
        <v>18</v>
      </c>
      <c r="N9" s="2" t="s">
        <v>19</v>
      </c>
    </row>
    <row r="10" spans="1:14">
      <c r="A10" s="3" t="s">
        <v>20</v>
      </c>
      <c r="B10" s="19">
        <f>SUMIFS(库存总账!$F$5:$F$164,库存总账!$C$5:$C$164,A10)</f>
        <v>9747.9406</v>
      </c>
      <c r="C10" s="19">
        <f>SUMIFS(库存总账!$G$5:$G$164,库存总账!$C$5:$C$164,A10)</f>
        <v>2009.65</v>
      </c>
      <c r="D10" s="19">
        <f>SUMIFS(库存总账!$H$5:$H$164,库存总账!$C$5:$C$164,A10)</f>
        <v>614.185</v>
      </c>
      <c r="E10" s="19">
        <f>SUMIFS(库存总账!$I$5:$I$164,库存总账!$C$5:$C$164,A10)</f>
        <v>1395.465</v>
      </c>
      <c r="F10" s="20">
        <f>COUNTIFS(库存总账!$C$5:$C$164,A10,库存总账!$K$5:$K$164,"&lt;&gt;正常")</f>
        <v>56</v>
      </c>
      <c r="H10" s="3" t="str">
        <f>IF(库存总账!$K5="正常","",库存总账!$A5)</f>
        <v>MAT-0001</v>
      </c>
      <c r="I10" s="3" t="str">
        <f>IF(库存总账!$K5="正常","",库存总账!$B5)</f>
        <v>市场面料格子</v>
      </c>
      <c r="J10" s="3" t="str">
        <f>IF(库存总账!$K5="正常","",库存总账!$C5)</f>
        <v>面料</v>
      </c>
      <c r="K10" s="19">
        <f>IF(库存总账!$K5="正常","",库存总账!$I5)</f>
        <v>0</v>
      </c>
      <c r="L10" s="19">
        <f>IF(库存总账!$K5="正常","",库存总账!$F5)</f>
        <v>0</v>
      </c>
      <c r="M10" s="3" t="str">
        <f>IF(库存总账!$K5="正常","",库存总账!$K5)</f>
        <v>低于安全库存</v>
      </c>
      <c r="N10" s="20">
        <f>IF(库存总账!$K5="正常","",库存总账!$L5)</f>
        <v>80</v>
      </c>
    </row>
    <row r="11" spans="1:14">
      <c r="A11" s="3" t="s">
        <v>21</v>
      </c>
      <c r="B11" s="19">
        <f>SUMIFS(库存总账!$F$5:$F$164,库存总账!$C$5:$C$164,A11)</f>
        <v>42172.76175</v>
      </c>
      <c r="C11" s="19">
        <f>SUMIFS(库存总账!$G$5:$G$164,库存总账!$C$5:$C$164,A11)</f>
        <v>12769.1</v>
      </c>
      <c r="D11" s="19">
        <f>SUMIFS(库存总账!$H$5:$H$164,库存总账!$C$5:$C$164,A11)</f>
        <v>1833.547</v>
      </c>
      <c r="E11" s="19">
        <f>SUMIFS(库存总账!$I$5:$I$164,库存总账!$C$5:$C$164,A11)</f>
        <v>10935.553</v>
      </c>
      <c r="F11" s="20">
        <f>COUNTIFS(库存总账!$C$5:$C$164,A11,库存总账!$K$5:$K$164,"&lt;&gt;正常")</f>
        <v>95</v>
      </c>
      <c r="H11" s="3" t="str">
        <f>IF(库存总账!$K6="正常","",库存总账!$A6)</f>
        <v>MAT-0002</v>
      </c>
      <c r="I11" s="3" t="str">
        <f>IF(库存总账!$K6="正常","",库存总账!$B6)</f>
        <v>150D全涤线</v>
      </c>
      <c r="J11" s="3" t="str">
        <f>IF(库存总账!$K6="正常","",库存总账!$C6)</f>
        <v>纱线</v>
      </c>
      <c r="K11" s="19">
        <f>IF(库存总账!$K6="正常","",库存总账!$I6)</f>
        <v>579.15</v>
      </c>
      <c r="L11" s="19">
        <f>IF(库存总账!$K6="正常","",库存总账!$F6)</f>
        <v>917.73</v>
      </c>
      <c r="M11" s="3" t="str">
        <f>IF(库存总账!$K6="正常","",库存总账!$K6)</f>
        <v>订单缺料</v>
      </c>
      <c r="N11" s="20">
        <f>IF(库存总账!$K6="正常","",库存总账!$L6)</f>
        <v>368.58</v>
      </c>
    </row>
    <row r="12" spans="1:14">
      <c r="A12" s="3" t="s">
        <v>22</v>
      </c>
      <c r="B12" s="19">
        <f>SUMIFS(库存总账!$F$5:$F$164,库存总账!$C$5:$C$164,A12)</f>
        <v>2709.315</v>
      </c>
      <c r="C12" s="19">
        <f>SUMIFS(库存总账!$G$5:$G$164,库存总账!$C$5:$C$164,A12)</f>
        <v>7.8</v>
      </c>
      <c r="D12" s="19">
        <f>SUMIFS(库存总账!$H$5:$H$164,库存总账!$C$5:$C$164,A12)</f>
        <v>3.51</v>
      </c>
      <c r="E12" s="19">
        <f>SUMIFS(库存总账!$I$5:$I$164,库存总账!$C$5:$C$164,A12)</f>
        <v>4.29</v>
      </c>
      <c r="F12" s="20">
        <f>COUNTIFS(库存总账!$C$5:$C$164,A12,库存总账!$K$5:$K$164,"&lt;&gt;正常")</f>
        <v>3</v>
      </c>
      <c r="H12" s="3" t="str">
        <f>IF(库存总账!$K7="正常","",库存总账!$A7)</f>
        <v>MAT-0003</v>
      </c>
      <c r="I12" s="3" t="str">
        <f>IF(库存总账!$K7="正常","",库存总账!$B7)</f>
        <v>面料F01752</v>
      </c>
      <c r="J12" s="3" t="str">
        <f>IF(库存总账!$K7="正常","",库存总账!$C7)</f>
        <v>面料</v>
      </c>
      <c r="K12" s="19">
        <f>IF(库存总账!$K7="正常","",库存总账!$I7)</f>
        <v>1404</v>
      </c>
      <c r="L12" s="19">
        <f>IF(库存总账!$K7="正常","",库存总账!$F7)</f>
        <v>2268</v>
      </c>
      <c r="M12" s="3" t="str">
        <f>IF(库存总账!$K7="正常","",库存总账!$K7)</f>
        <v>订单缺料</v>
      </c>
      <c r="N12" s="20">
        <f>IF(库存总账!$K7="正常","",库存总账!$L7)</f>
        <v>944</v>
      </c>
    </row>
    <row r="13" spans="8:14">
      <c r="H13" s="3" t="str">
        <f>IF(库存总账!$K8="正常","",库存总账!$A8)</f>
        <v>MAT-0004</v>
      </c>
      <c r="I13" s="3" t="str">
        <f>IF(库存总账!$K8="正常","",库存总账!$B8)</f>
        <v>面料F05140</v>
      </c>
      <c r="J13" s="3" t="str">
        <f>IF(库存总账!$K8="正常","",库存总账!$C8)</f>
        <v>面料</v>
      </c>
      <c r="K13" s="19">
        <f>IF(库存总账!$K8="正常","",库存总账!$I8)</f>
        <v>31.2</v>
      </c>
      <c r="L13" s="19">
        <f>IF(库存总账!$K8="正常","",库存总账!$F8)</f>
        <v>50.4</v>
      </c>
      <c r="M13" s="3" t="str">
        <f>IF(库存总账!$K8="正常","",库存总账!$K8)</f>
        <v>低于安全库存</v>
      </c>
      <c r="N13" s="20">
        <f>IF(库存总账!$K8="正常","",库存总账!$L8)</f>
        <v>99.2</v>
      </c>
    </row>
    <row r="14" spans="8:14">
      <c r="H14" s="3" t="str">
        <f>IF(库存总账!$K9="正常","",库存总账!$A9)</f>
        <v/>
      </c>
      <c r="I14" s="3" t="str">
        <f>IF(库存总账!$K9="正常","",库存总账!$B9)</f>
        <v/>
      </c>
      <c r="J14" s="3" t="str">
        <f>IF(库存总账!$K9="正常","",库存总账!$C9)</f>
        <v/>
      </c>
      <c r="K14" s="19" t="str">
        <f>IF(库存总账!$K9="正常","",库存总账!$I9)</f>
        <v/>
      </c>
      <c r="L14" s="19" t="str">
        <f>IF(库存总账!$K9="正常","",库存总账!$F9)</f>
        <v/>
      </c>
      <c r="M14" s="3" t="str">
        <f>IF(库存总账!$K9="正常","",库存总账!$K9)</f>
        <v/>
      </c>
      <c r="N14" s="20" t="str">
        <f>IF(库存总账!$K9="正常","",库存总账!$L9)</f>
        <v/>
      </c>
    </row>
    <row r="15" spans="8:14">
      <c r="H15" s="3" t="str">
        <f>IF(库存总账!$K10="正常","",库存总账!$A10)</f>
        <v/>
      </c>
      <c r="I15" s="3" t="str">
        <f>IF(库存总账!$K10="正常","",库存总账!$B10)</f>
        <v/>
      </c>
      <c r="J15" s="3" t="str">
        <f>IF(库存总账!$K10="正常","",库存总账!$C10)</f>
        <v/>
      </c>
      <c r="K15" s="19" t="str">
        <f>IF(库存总账!$K10="正常","",库存总账!$I10)</f>
        <v/>
      </c>
      <c r="L15" s="19" t="str">
        <f>IF(库存总账!$K10="正常","",库存总账!$F10)</f>
        <v/>
      </c>
      <c r="M15" s="3" t="str">
        <f>IF(库存总账!$K10="正常","",库存总账!$K10)</f>
        <v/>
      </c>
      <c r="N15" s="20" t="str">
        <f>IF(库存总账!$K10="正常","",库存总账!$L10)</f>
        <v/>
      </c>
    </row>
    <row r="16" spans="8:14">
      <c r="H16" s="3" t="str">
        <f>IF(库存总账!$K11="正常","",库存总账!$A11)</f>
        <v/>
      </c>
      <c r="I16" s="3" t="str">
        <f>IF(库存总账!$K11="正常","",库存总账!$B11)</f>
        <v/>
      </c>
      <c r="J16" s="3" t="str">
        <f>IF(库存总账!$K11="正常","",库存总账!$C11)</f>
        <v/>
      </c>
      <c r="K16" s="19" t="str">
        <f>IF(库存总账!$K11="正常","",库存总账!$I11)</f>
        <v/>
      </c>
      <c r="L16" s="19" t="str">
        <f>IF(库存总账!$K11="正常","",库存总账!$F11)</f>
        <v/>
      </c>
      <c r="M16" s="3" t="str">
        <f>IF(库存总账!$K11="正常","",库存总账!$K11)</f>
        <v/>
      </c>
      <c r="N16" s="20" t="str">
        <f>IF(库存总账!$K11="正常","",库存总账!$L11)</f>
        <v/>
      </c>
    </row>
    <row r="17" spans="8:14">
      <c r="H17" s="3" t="str">
        <f>IF(库存总账!$K12="正常","",库存总账!$A12)</f>
        <v/>
      </c>
      <c r="I17" s="3" t="str">
        <f>IF(库存总账!$K12="正常","",库存总账!$B12)</f>
        <v/>
      </c>
      <c r="J17" s="3" t="str">
        <f>IF(库存总账!$K12="正常","",库存总账!$C12)</f>
        <v/>
      </c>
      <c r="K17" s="19" t="str">
        <f>IF(库存总账!$K12="正常","",库存总账!$I12)</f>
        <v/>
      </c>
      <c r="L17" s="19" t="str">
        <f>IF(库存总账!$K12="正常","",库存总账!$F12)</f>
        <v/>
      </c>
      <c r="M17" s="3" t="str">
        <f>IF(库存总账!$K12="正常","",库存总账!$K12)</f>
        <v/>
      </c>
      <c r="N17" s="20" t="str">
        <f>IF(库存总账!$K12="正常","",库存总账!$L12)</f>
        <v/>
      </c>
    </row>
    <row r="18" spans="8:14">
      <c r="H18" s="3" t="str">
        <f>IF(库存总账!$K13="正常","",库存总账!$A13)</f>
        <v/>
      </c>
      <c r="I18" s="3" t="str">
        <f>IF(库存总账!$K13="正常","",库存总账!$B13)</f>
        <v/>
      </c>
      <c r="J18" s="3" t="str">
        <f>IF(库存总账!$K13="正常","",库存总账!$C13)</f>
        <v/>
      </c>
      <c r="K18" s="19" t="str">
        <f>IF(库存总账!$K13="正常","",库存总账!$I13)</f>
        <v/>
      </c>
      <c r="L18" s="19" t="str">
        <f>IF(库存总账!$K13="正常","",库存总账!$F13)</f>
        <v/>
      </c>
      <c r="M18" s="3" t="str">
        <f>IF(库存总账!$K13="正常","",库存总账!$K13)</f>
        <v/>
      </c>
      <c r="N18" s="20" t="str">
        <f>IF(库存总账!$K13="正常","",库存总账!$L13)</f>
        <v/>
      </c>
    </row>
    <row r="19" spans="8:14">
      <c r="H19" s="3" t="str">
        <f>IF(库存总账!$K14="正常","",库存总账!$A14)</f>
        <v>MAT-0010</v>
      </c>
      <c r="I19" s="3" t="str">
        <f>IF(库存总账!$K14="正常","",库存总账!$B14)</f>
        <v>客供毛圈</v>
      </c>
      <c r="J19" s="3" t="str">
        <f>IF(库存总账!$K14="正常","",库存总账!$C14)</f>
        <v>纱线</v>
      </c>
      <c r="K19" s="19">
        <f>IF(库存总账!$K14="正常","",库存总账!$I14)</f>
        <v>28.05</v>
      </c>
      <c r="L19" s="19">
        <f>IF(库存总账!$K14="正常","",库存总账!$F14)</f>
        <v>52.53</v>
      </c>
      <c r="M19" s="3" t="str">
        <f>IF(库存总账!$K14="正常","",库存总账!$K14)</f>
        <v>低于安全库存</v>
      </c>
      <c r="N19" s="20">
        <f>IF(库存总账!$K14="正常","",库存总账!$L14)</f>
        <v>54.48</v>
      </c>
    </row>
    <row r="20" spans="8:14">
      <c r="H20" s="3" t="str">
        <f>IF(库存总账!$K15="正常","",库存总账!$A15)</f>
        <v>MAT-0011</v>
      </c>
      <c r="I20" s="3" t="str">
        <f>IF(库存总账!$K15="正常","",库存总账!$B15)</f>
        <v>2*2罗文</v>
      </c>
      <c r="J20" s="3" t="str">
        <f>IF(库存总账!$K15="正常","",库存总账!$C15)</f>
        <v>辅料</v>
      </c>
      <c r="K20" s="19">
        <f>IF(库存总账!$K15="正常","",库存总账!$I15)</f>
        <v>4.29</v>
      </c>
      <c r="L20" s="19">
        <f>IF(库存总账!$K15="正常","",库存总账!$F15)</f>
        <v>8.19</v>
      </c>
      <c r="M20" s="3" t="str">
        <f>IF(库存总账!$K15="正常","",库存总账!$K15)</f>
        <v>低于安全库存</v>
      </c>
      <c r="N20" s="20">
        <f>IF(库存总账!$K15="正常","",库存总账!$L15)</f>
        <v>103.9</v>
      </c>
    </row>
    <row r="21" spans="8:14">
      <c r="H21" s="3" t="str">
        <f>IF(库存总账!$K16="正常","",库存总账!$A16)</f>
        <v>MAT-0012</v>
      </c>
      <c r="I21" s="3" t="str">
        <f>IF(库存总账!$K16="正常","",库存总账!$B16)</f>
        <v>20/1汗布</v>
      </c>
      <c r="J21" s="3" t="str">
        <f>IF(库存总账!$K16="正常","",库存总账!$C16)</f>
        <v>面料</v>
      </c>
      <c r="K21" s="19">
        <f>IF(库存总账!$K16="正常","",库存总账!$I16)</f>
        <v>2.475</v>
      </c>
      <c r="L21" s="19">
        <f>IF(库存总账!$K16="正常","",库存总账!$F16)</f>
        <v>4.725</v>
      </c>
      <c r="M21" s="3" t="str">
        <f>IF(库存总账!$K16="正常","",库存总账!$K16)</f>
        <v>低于安全库存</v>
      </c>
      <c r="N21" s="20">
        <f>IF(库存总账!$K16="正常","",库存总账!$L16)</f>
        <v>82.25</v>
      </c>
    </row>
    <row r="22" spans="8:14">
      <c r="H22" s="3" t="str">
        <f>IF(库存总账!$K17="正常","",库存总账!$A17)</f>
        <v>MAT-0013</v>
      </c>
      <c r="I22" s="3" t="str">
        <f>IF(库存总账!$K17="正常","",库存总账!$B17)</f>
        <v>F00921</v>
      </c>
      <c r="J22" s="3" t="str">
        <f>IF(库存总账!$K17="正常","",库存总账!$C17)</f>
        <v>面料</v>
      </c>
      <c r="K22" s="19">
        <f>IF(库存总账!$K17="正常","",库存总账!$I17)</f>
        <v>114.94</v>
      </c>
      <c r="L22" s="19">
        <f>IF(库存总账!$K17="正常","",库存总账!$F17)</f>
        <v>217.14</v>
      </c>
      <c r="M22" s="3" t="str">
        <f>IF(库存总账!$K17="正常","",库存总账!$K17)</f>
        <v>订单缺料</v>
      </c>
      <c r="N22" s="20">
        <f>IF(库存总账!$K17="正常","",库存总账!$L17)</f>
        <v>182.2</v>
      </c>
    </row>
    <row r="23" spans="8:14">
      <c r="H23" s="3" t="str">
        <f>IF(库存总账!$K18="正常","",库存总账!$A18)</f>
        <v>MAT-0014</v>
      </c>
      <c r="I23" s="3" t="str">
        <f>IF(库存总账!$K18="正常","",库存总账!$B18)</f>
        <v>索罗娜罗纹</v>
      </c>
      <c r="J23" s="3" t="str">
        <f>IF(库存总账!$K18="正常","",库存总账!$C18)</f>
        <v>面料</v>
      </c>
      <c r="K23" s="19">
        <f>IF(库存总账!$K18="正常","",库存总账!$I18)</f>
        <v>22.772</v>
      </c>
      <c r="L23" s="19">
        <f>IF(库存总账!$K18="正常","",库存总账!$F18)</f>
        <v>35.532</v>
      </c>
      <c r="M23" s="3" t="str">
        <f>IF(库存总账!$K18="正常","",库存总账!$K18)</f>
        <v>低于安全库存</v>
      </c>
      <c r="N23" s="20">
        <f>IF(库存总账!$K18="正常","",库存总账!$L18)</f>
        <v>92.76</v>
      </c>
    </row>
    <row r="24" spans="8:14">
      <c r="H24" s="3" t="str">
        <f>IF(库存总账!$K19="正常","",库存总账!$A19)</f>
        <v>MAT-0015</v>
      </c>
      <c r="I24" s="3" t="str">
        <f>IF(库存总账!$K19="正常","",库存总账!$B19)</f>
        <v>客供毛圈</v>
      </c>
      <c r="J24" s="3" t="str">
        <f>IF(库存总账!$K19="正常","",库存总账!$C19)</f>
        <v>纱线</v>
      </c>
      <c r="K24" s="19">
        <f>IF(库存总账!$K19="正常","",库存总账!$I19)</f>
        <v>31.68</v>
      </c>
      <c r="L24" s="19">
        <f>IF(库存总账!$K19="正常","",库存总账!$F19)</f>
        <v>59.328</v>
      </c>
      <c r="M24" s="3" t="str">
        <f>IF(库存总账!$K19="正常","",库存总账!$K19)</f>
        <v>订单缺料</v>
      </c>
      <c r="N24" s="20">
        <f>IF(库存总账!$K19="正常","",库存总账!$L19)</f>
        <v>57.648</v>
      </c>
    </row>
    <row r="25" spans="8:14">
      <c r="H25" s="3" t="str">
        <f>IF(库存总账!$K20="正常","",库存总账!$A20)</f>
        <v>MAT-0016</v>
      </c>
      <c r="I25" s="3" t="str">
        <f>IF(库存总账!$K20="正常","",库存总账!$B20)</f>
        <v>网眼袋布</v>
      </c>
      <c r="J25" s="3" t="str">
        <f>IF(库存总账!$K20="正常","",库存总账!$C20)</f>
        <v>面料</v>
      </c>
      <c r="K25" s="19">
        <f>IF(库存总账!$K20="正常","",库存总账!$I20)</f>
        <v>4.29</v>
      </c>
      <c r="L25" s="19">
        <f>IF(库存总账!$K20="正常","",库存总账!$F20)</f>
        <v>8.19</v>
      </c>
      <c r="M25" s="3" t="str">
        <f>IF(库存总账!$K20="正常","",库存总账!$K20)</f>
        <v>低于安全库存</v>
      </c>
      <c r="N25" s="20">
        <f>IF(库存总账!$K20="正常","",库存总账!$L20)</f>
        <v>83.9</v>
      </c>
    </row>
    <row r="26" spans="8:14">
      <c r="H26" s="3" t="str">
        <f>IF(库存总账!$K21="正常","",库存总账!$A21)</f>
        <v>MAT-0017</v>
      </c>
      <c r="I26" s="3" t="str">
        <f>IF(库存总账!$K21="正常","",库存总账!$B21)</f>
        <v>客供毛圈</v>
      </c>
      <c r="J26" s="3" t="str">
        <f>IF(库存总账!$K21="正常","",库存总账!$C21)</f>
        <v>纱线</v>
      </c>
      <c r="K26" s="19">
        <f>IF(库存总账!$K21="正常","",库存总账!$I21)</f>
        <v>2.64</v>
      </c>
      <c r="L26" s="19">
        <f>IF(库存总账!$K21="正常","",库存总账!$F21)</f>
        <v>4.944</v>
      </c>
      <c r="M26" s="3" t="str">
        <f>IF(库存总账!$K21="正常","",库存总账!$K21)</f>
        <v>低于安全库存</v>
      </c>
      <c r="N26" s="20">
        <f>IF(库存总账!$K21="正常","",库存总账!$L21)</f>
        <v>32.304</v>
      </c>
    </row>
    <row r="27" spans="8:14">
      <c r="H27" s="3" t="str">
        <f>IF(库存总账!$K22="正常","",库存总账!$A22)</f>
        <v>MAT-0018</v>
      </c>
      <c r="I27" s="3" t="str">
        <f>IF(库存总账!$K22="正常","",库存总账!$B22)</f>
        <v>150D中弹丝</v>
      </c>
      <c r="J27" s="3" t="str">
        <f>IF(库存总账!$K22="正常","",库存总账!$C22)</f>
        <v>纱线</v>
      </c>
      <c r="K27" s="19">
        <f>IF(库存总账!$K22="正常","",库存总账!$I22)</f>
        <v>30.56</v>
      </c>
      <c r="L27" s="19">
        <f>IF(库存总账!$K22="正常","",库存总账!$F22)</f>
        <v>49.44</v>
      </c>
      <c r="M27" s="3" t="str">
        <f>IF(库存总账!$K22="正常","",库存总账!$K22)</f>
        <v>订单缺料</v>
      </c>
      <c r="N27" s="20">
        <f>IF(库存总账!$K22="正常","",库存总账!$L22)</f>
        <v>48.88</v>
      </c>
    </row>
    <row r="28" spans="8:14">
      <c r="H28" s="3" t="str">
        <f>IF(库存总账!$K23="正常","",库存总账!$A23)</f>
        <v/>
      </c>
      <c r="I28" s="3" t="str">
        <f>IF(库存总账!$K23="正常","",库存总账!$B23)</f>
        <v/>
      </c>
      <c r="J28" s="3" t="str">
        <f>IF(库存总账!$K23="正常","",库存总账!$C23)</f>
        <v/>
      </c>
      <c r="K28" s="19" t="str">
        <f>IF(库存总账!$K23="正常","",库存总账!$I23)</f>
        <v/>
      </c>
      <c r="L28" s="19" t="str">
        <f>IF(库存总账!$K23="正常","",库存总账!$F23)</f>
        <v/>
      </c>
      <c r="M28" s="3" t="str">
        <f>IF(库存总账!$K23="正常","",库存总账!$K23)</f>
        <v/>
      </c>
      <c r="N28" s="20" t="str">
        <f>IF(库存总账!$K23="正常","",库存总账!$L23)</f>
        <v/>
      </c>
    </row>
    <row r="29" spans="8:14">
      <c r="H29" s="3" t="str">
        <f>IF(库存总账!$K24="正常","",库存总账!$A24)</f>
        <v>MAT-0020</v>
      </c>
      <c r="I29" s="3" t="str">
        <f>IF(库存总账!$K24="正常","",库存总账!$B24)</f>
        <v>氨纶丝</v>
      </c>
      <c r="J29" s="3" t="str">
        <f>IF(库存总账!$K24="正常","",库存总账!$C24)</f>
        <v>纱线</v>
      </c>
      <c r="K29" s="19">
        <f>IF(库存总账!$K24="正常","",库存总账!$I24)</f>
        <v>16.53</v>
      </c>
      <c r="L29" s="19">
        <f>IF(库存总账!$K24="正常","",库存总账!$F24)</f>
        <v>6.18</v>
      </c>
      <c r="M29" s="3" t="str">
        <f>IF(库存总账!$K24="正常","",库存总账!$K24)</f>
        <v>低于安全库存</v>
      </c>
      <c r="N29" s="20">
        <f>IF(库存总账!$K24="正常","",库存总账!$L24)</f>
        <v>19.65</v>
      </c>
    </row>
  </sheetData>
  <mergeCells count="4">
    <mergeCell ref="A1:N1"/>
    <mergeCell ref="A3:N3"/>
    <mergeCell ref="A8:F8"/>
    <mergeCell ref="H8:N8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4"/>
  <sheetViews>
    <sheetView showGridLines="0" zoomScale="85" zoomScaleNormal="85" topLeftCell="F1" workbookViewId="0">
      <selection activeCell="N5" sqref="N5:S84"/>
    </sheetView>
  </sheetViews>
  <sheetFormatPr defaultColWidth="9" defaultRowHeight="13.8"/>
  <cols>
    <col min="1" max="1" width="11.25" customWidth="1"/>
    <col min="2" max="2" width="10" customWidth="1"/>
    <col min="3" max="3" width="11.8833333333333" customWidth="1"/>
    <col min="4" max="4" width="10" customWidth="1"/>
    <col min="5" max="5" width="8.75" customWidth="1"/>
    <col min="6" max="8" width="16.25" customWidth="1"/>
    <col min="9" max="9" width="20" customWidth="1"/>
    <col min="10" max="10" width="27.5" customWidth="1"/>
    <col min="11" max="11" width="12.5" customWidth="1"/>
    <col min="12" max="12" width="11.25" customWidth="1"/>
    <col min="13" max="13" width="11.8833333333333" customWidth="1"/>
    <col min="14" max="14" width="15" customWidth="1"/>
    <col min="15" max="16" width="12.5" customWidth="1"/>
    <col min="17" max="18" width="15" customWidth="1"/>
    <col min="19" max="19" width="12.5" customWidth="1"/>
    <col min="20" max="20" width="16.25" customWidth="1"/>
  </cols>
  <sheetData>
    <row r="1" ht="25.5" customHeight="1" spans="1:20">
      <c r="A1" s="1" t="s">
        <v>23</v>
      </c>
      <c r="B1" s="1" t="s">
        <v>23</v>
      </c>
      <c r="C1" s="1" t="s">
        <v>23</v>
      </c>
      <c r="D1" s="1" t="s">
        <v>23</v>
      </c>
      <c r="E1" s="1" t="s">
        <v>23</v>
      </c>
      <c r="F1" s="1" t="s">
        <v>23</v>
      </c>
      <c r="G1" s="1" t="s">
        <v>23</v>
      </c>
      <c r="H1" s="1" t="s">
        <v>23</v>
      </c>
      <c r="I1" s="1" t="s">
        <v>23</v>
      </c>
      <c r="J1" s="1" t="s">
        <v>23</v>
      </c>
      <c r="K1" s="1" t="s">
        <v>23</v>
      </c>
      <c r="L1" s="1" t="s">
        <v>23</v>
      </c>
      <c r="M1" s="1" t="s">
        <v>23</v>
      </c>
      <c r="N1" s="1" t="s">
        <v>23</v>
      </c>
      <c r="O1" s="1" t="s">
        <v>23</v>
      </c>
      <c r="P1" s="1" t="s">
        <v>23</v>
      </c>
      <c r="Q1" s="1" t="s">
        <v>23</v>
      </c>
      <c r="R1" s="1" t="s">
        <v>23</v>
      </c>
      <c r="S1" s="1" t="s">
        <v>23</v>
      </c>
      <c r="T1" s="1" t="s">
        <v>23</v>
      </c>
    </row>
    <row r="3" spans="1:20">
      <c r="A3" s="4" t="s">
        <v>24</v>
      </c>
      <c r="B3" s="4" t="s">
        <v>24</v>
      </c>
      <c r="C3" s="4" t="s">
        <v>24</v>
      </c>
      <c r="D3" s="4" t="s">
        <v>24</v>
      </c>
      <c r="E3" s="4" t="s">
        <v>24</v>
      </c>
      <c r="F3" s="4" t="s">
        <v>24</v>
      </c>
      <c r="G3" s="4" t="s">
        <v>24</v>
      </c>
      <c r="H3" s="4" t="s">
        <v>24</v>
      </c>
      <c r="I3" s="4" t="s">
        <v>24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  <c r="T3" s="4" t="s">
        <v>24</v>
      </c>
    </row>
    <row r="4" ht="22.5" customHeight="1" spans="1:20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40</v>
      </c>
      <c r="Q4" s="5" t="s">
        <v>41</v>
      </c>
      <c r="R4" s="5" t="s">
        <v>42</v>
      </c>
      <c r="S4" s="5" t="s">
        <v>43</v>
      </c>
      <c r="T4" s="5" t="s">
        <v>44</v>
      </c>
    </row>
    <row r="5" ht="28.8" spans="1:20">
      <c r="A5" s="6" t="s">
        <v>45</v>
      </c>
      <c r="B5" s="6" t="s">
        <v>46</v>
      </c>
      <c r="C5" s="11" t="s">
        <v>47</v>
      </c>
      <c r="D5" s="6" t="s">
        <v>48</v>
      </c>
      <c r="E5" s="6" t="s">
        <v>49</v>
      </c>
      <c r="F5" s="6" t="s">
        <v>50</v>
      </c>
      <c r="G5" s="6" t="s">
        <v>51</v>
      </c>
      <c r="H5" s="6" t="s">
        <v>52</v>
      </c>
      <c r="I5" s="6" t="s">
        <v>53</v>
      </c>
      <c r="J5" s="6" t="s">
        <v>54</v>
      </c>
      <c r="K5" s="6" t="s">
        <v>49</v>
      </c>
      <c r="L5" s="10">
        <v>695</v>
      </c>
      <c r="M5" s="11" t="s">
        <v>55</v>
      </c>
      <c r="N5" s="11"/>
      <c r="O5" s="11"/>
      <c r="P5" s="11"/>
      <c r="Q5" s="6"/>
      <c r="R5" s="6"/>
      <c r="S5" s="6"/>
      <c r="T5" s="6" t="s">
        <v>49</v>
      </c>
    </row>
    <row r="6" ht="28.8" spans="1:20">
      <c r="A6" s="6" t="s">
        <v>45</v>
      </c>
      <c r="B6" s="6" t="s">
        <v>56</v>
      </c>
      <c r="C6" s="11" t="s">
        <v>57</v>
      </c>
      <c r="D6" s="6" t="s">
        <v>58</v>
      </c>
      <c r="E6" s="6" t="s">
        <v>59</v>
      </c>
      <c r="F6" s="6" t="s">
        <v>60</v>
      </c>
      <c r="G6" s="6" t="s">
        <v>61</v>
      </c>
      <c r="H6" s="6" t="s">
        <v>62</v>
      </c>
      <c r="I6" s="6" t="s">
        <v>63</v>
      </c>
      <c r="J6" s="6" t="s">
        <v>64</v>
      </c>
      <c r="K6" s="6" t="s">
        <v>49</v>
      </c>
      <c r="L6" s="10">
        <v>2700</v>
      </c>
      <c r="M6" s="11" t="s">
        <v>65</v>
      </c>
      <c r="N6" s="11"/>
      <c r="O6" s="11"/>
      <c r="P6" s="11"/>
      <c r="Q6" s="6"/>
      <c r="R6" s="6"/>
      <c r="S6" s="6"/>
      <c r="T6" s="6" t="s">
        <v>49</v>
      </c>
    </row>
    <row r="7" ht="28.8" spans="1:20">
      <c r="A7" s="6" t="s">
        <v>45</v>
      </c>
      <c r="B7" s="6" t="s">
        <v>66</v>
      </c>
      <c r="C7" s="11" t="s">
        <v>67</v>
      </c>
      <c r="D7" s="6" t="s">
        <v>68</v>
      </c>
      <c r="E7" s="6" t="s">
        <v>69</v>
      </c>
      <c r="F7" s="6" t="s">
        <v>70</v>
      </c>
      <c r="G7" s="6" t="s">
        <v>71</v>
      </c>
      <c r="H7" s="6" t="s">
        <v>72</v>
      </c>
      <c r="I7" s="6" t="s">
        <v>73</v>
      </c>
      <c r="J7" s="6" t="s">
        <v>74</v>
      </c>
      <c r="K7" s="6" t="s">
        <v>75</v>
      </c>
      <c r="L7" s="10">
        <v>2400</v>
      </c>
      <c r="M7" s="11" t="s">
        <v>76</v>
      </c>
      <c r="N7" s="11"/>
      <c r="O7" s="11"/>
      <c r="P7" s="11"/>
      <c r="Q7" s="6"/>
      <c r="R7" s="6"/>
      <c r="S7" s="6"/>
      <c r="T7" s="6" t="s">
        <v>49</v>
      </c>
    </row>
    <row r="8" ht="28.8" spans="1:20">
      <c r="A8" s="6" t="s">
        <v>45</v>
      </c>
      <c r="B8" s="6" t="s">
        <v>77</v>
      </c>
      <c r="C8" s="11" t="s">
        <v>78</v>
      </c>
      <c r="D8" s="6" t="s">
        <v>79</v>
      </c>
      <c r="E8" s="6" t="s">
        <v>49</v>
      </c>
      <c r="F8" s="6" t="s">
        <v>80</v>
      </c>
      <c r="G8" s="6" t="s">
        <v>81</v>
      </c>
      <c r="H8" s="6" t="s">
        <v>82</v>
      </c>
      <c r="I8" s="6" t="s">
        <v>83</v>
      </c>
      <c r="J8" s="6" t="s">
        <v>84</v>
      </c>
      <c r="K8" s="6" t="s">
        <v>49</v>
      </c>
      <c r="L8" s="10">
        <v>850</v>
      </c>
      <c r="M8" s="11" t="s">
        <v>65</v>
      </c>
      <c r="N8" s="11"/>
      <c r="O8" s="11"/>
      <c r="P8" s="11"/>
      <c r="Q8" s="6"/>
      <c r="R8" s="6"/>
      <c r="S8" s="6"/>
      <c r="T8" s="6" t="s">
        <v>49</v>
      </c>
    </row>
    <row r="9" ht="28.8" spans="1:20">
      <c r="A9" s="6" t="s">
        <v>45</v>
      </c>
      <c r="B9" s="6" t="s">
        <v>77</v>
      </c>
      <c r="C9" s="11" t="s">
        <v>85</v>
      </c>
      <c r="D9" s="6" t="s">
        <v>79</v>
      </c>
      <c r="E9" s="6" t="s">
        <v>49</v>
      </c>
      <c r="F9" s="6" t="s">
        <v>86</v>
      </c>
      <c r="G9" s="6" t="s">
        <v>87</v>
      </c>
      <c r="H9" s="6" t="s">
        <v>88</v>
      </c>
      <c r="I9" s="6" t="s">
        <v>89</v>
      </c>
      <c r="J9" s="6" t="s">
        <v>90</v>
      </c>
      <c r="K9" s="6" t="s">
        <v>49</v>
      </c>
      <c r="L9" s="10">
        <v>1108</v>
      </c>
      <c r="M9" s="11" t="s">
        <v>65</v>
      </c>
      <c r="N9" s="11"/>
      <c r="O9" s="11"/>
      <c r="P9" s="11"/>
      <c r="Q9" s="6"/>
      <c r="R9" s="6"/>
      <c r="S9" s="6"/>
      <c r="T9" s="6" t="s">
        <v>49</v>
      </c>
    </row>
    <row r="10" ht="28.8" spans="1:20">
      <c r="A10" s="6" t="s">
        <v>45</v>
      </c>
      <c r="B10" s="6" t="s">
        <v>77</v>
      </c>
      <c r="C10" s="11" t="s">
        <v>85</v>
      </c>
      <c r="D10" s="6" t="s">
        <v>79</v>
      </c>
      <c r="E10" s="6" t="s">
        <v>49</v>
      </c>
      <c r="F10" s="6" t="s">
        <v>91</v>
      </c>
      <c r="G10" s="6" t="s">
        <v>92</v>
      </c>
      <c r="H10" s="6" t="s">
        <v>93</v>
      </c>
      <c r="I10" s="6" t="s">
        <v>94</v>
      </c>
      <c r="J10" s="6" t="s">
        <v>95</v>
      </c>
      <c r="K10" s="6" t="s">
        <v>49</v>
      </c>
      <c r="L10" s="10">
        <v>1628</v>
      </c>
      <c r="M10" s="11" t="s">
        <v>65</v>
      </c>
      <c r="N10" s="11"/>
      <c r="O10" s="11"/>
      <c r="P10" s="11"/>
      <c r="Q10" s="6"/>
      <c r="R10" s="6"/>
      <c r="S10" s="6"/>
      <c r="T10" s="6" t="s">
        <v>49</v>
      </c>
    </row>
    <row r="11" ht="28.8" spans="1:20">
      <c r="A11" s="6" t="s">
        <v>45</v>
      </c>
      <c r="B11" s="6" t="s">
        <v>77</v>
      </c>
      <c r="C11" s="11" t="s">
        <v>96</v>
      </c>
      <c r="D11" s="6" t="s">
        <v>79</v>
      </c>
      <c r="E11" s="6" t="s">
        <v>49</v>
      </c>
      <c r="F11" s="6" t="s">
        <v>97</v>
      </c>
      <c r="G11" s="6" t="s">
        <v>98</v>
      </c>
      <c r="H11" s="6" t="s">
        <v>99</v>
      </c>
      <c r="I11" s="6" t="s">
        <v>100</v>
      </c>
      <c r="J11" s="6" t="s">
        <v>101</v>
      </c>
      <c r="K11" s="6" t="s">
        <v>49</v>
      </c>
      <c r="L11" s="10">
        <v>30</v>
      </c>
      <c r="M11" s="11" t="s">
        <v>65</v>
      </c>
      <c r="N11" s="11"/>
      <c r="O11" s="11"/>
      <c r="P11" s="11"/>
      <c r="Q11" s="6"/>
      <c r="R11" s="6"/>
      <c r="S11" s="6"/>
      <c r="T11" s="6" t="s">
        <v>49</v>
      </c>
    </row>
    <row r="12" ht="28.8" spans="1:20">
      <c r="A12" s="6" t="s">
        <v>45</v>
      </c>
      <c r="B12" s="6" t="s">
        <v>66</v>
      </c>
      <c r="C12" s="11" t="s">
        <v>102</v>
      </c>
      <c r="D12" s="6" t="s">
        <v>68</v>
      </c>
      <c r="E12" s="6" t="s">
        <v>69</v>
      </c>
      <c r="F12" s="6" t="s">
        <v>103</v>
      </c>
      <c r="G12" s="6" t="s">
        <v>104</v>
      </c>
      <c r="H12" s="6" t="s">
        <v>105</v>
      </c>
      <c r="I12" s="6" t="s">
        <v>106</v>
      </c>
      <c r="J12" s="6" t="s">
        <v>107</v>
      </c>
      <c r="K12" s="6" t="s">
        <v>49</v>
      </c>
      <c r="L12" s="10">
        <v>188</v>
      </c>
      <c r="M12" s="11" t="s">
        <v>108</v>
      </c>
      <c r="N12" s="11"/>
      <c r="O12" s="11"/>
      <c r="P12" s="11"/>
      <c r="Q12" s="6"/>
      <c r="R12" s="6"/>
      <c r="S12" s="6"/>
      <c r="T12" s="6" t="s">
        <v>49</v>
      </c>
    </row>
    <row r="13" ht="28.8" spans="1:20">
      <c r="A13" s="6" t="s">
        <v>45</v>
      </c>
      <c r="B13" s="6" t="s">
        <v>77</v>
      </c>
      <c r="C13" s="11" t="s">
        <v>96</v>
      </c>
      <c r="D13" s="6" t="s">
        <v>79</v>
      </c>
      <c r="E13" s="6" t="s">
        <v>49</v>
      </c>
      <c r="F13" s="6" t="s">
        <v>109</v>
      </c>
      <c r="G13" s="6" t="s">
        <v>110</v>
      </c>
      <c r="H13" s="6" t="s">
        <v>111</v>
      </c>
      <c r="I13" s="6" t="s">
        <v>112</v>
      </c>
      <c r="J13" s="6" t="s">
        <v>113</v>
      </c>
      <c r="K13" s="6" t="s">
        <v>49</v>
      </c>
      <c r="L13" s="10">
        <v>30</v>
      </c>
      <c r="M13" s="11" t="s">
        <v>65</v>
      </c>
      <c r="N13" s="11"/>
      <c r="O13" s="11"/>
      <c r="P13" s="11"/>
      <c r="Q13" s="6"/>
      <c r="R13" s="6"/>
      <c r="S13" s="6"/>
      <c r="T13" s="6" t="s">
        <v>49</v>
      </c>
    </row>
    <row r="14" ht="28.8" spans="1:20">
      <c r="A14" s="6" t="s">
        <v>45</v>
      </c>
      <c r="B14" s="6" t="s">
        <v>66</v>
      </c>
      <c r="C14" s="11" t="s">
        <v>114</v>
      </c>
      <c r="D14" s="6" t="s">
        <v>68</v>
      </c>
      <c r="E14" s="6" t="s">
        <v>69</v>
      </c>
      <c r="F14" s="6" t="s">
        <v>115</v>
      </c>
      <c r="G14" s="6" t="s">
        <v>116</v>
      </c>
      <c r="H14" s="6" t="s">
        <v>117</v>
      </c>
      <c r="I14" s="6" t="s">
        <v>118</v>
      </c>
      <c r="J14" s="6" t="s">
        <v>119</v>
      </c>
      <c r="K14" s="6" t="s">
        <v>120</v>
      </c>
      <c r="L14" s="10">
        <v>300</v>
      </c>
      <c r="M14" s="11" t="s">
        <v>108</v>
      </c>
      <c r="N14" s="11"/>
      <c r="O14" s="11"/>
      <c r="P14" s="11"/>
      <c r="Q14" s="6"/>
      <c r="R14" s="6"/>
      <c r="S14" s="6"/>
      <c r="T14" s="6" t="s">
        <v>49</v>
      </c>
    </row>
    <row r="15" ht="28.8" spans="1:20">
      <c r="A15" s="6" t="s">
        <v>45</v>
      </c>
      <c r="B15" s="6" t="s">
        <v>66</v>
      </c>
      <c r="C15" s="11" t="s">
        <v>121</v>
      </c>
      <c r="D15" s="6" t="s">
        <v>68</v>
      </c>
      <c r="E15" s="6" t="s">
        <v>69</v>
      </c>
      <c r="F15" s="6" t="s">
        <v>122</v>
      </c>
      <c r="G15" s="6" t="s">
        <v>123</v>
      </c>
      <c r="H15" s="6" t="s">
        <v>124</v>
      </c>
      <c r="I15" s="6" t="s">
        <v>125</v>
      </c>
      <c r="J15" s="6" t="s">
        <v>126</v>
      </c>
      <c r="K15" s="6" t="s">
        <v>49</v>
      </c>
      <c r="L15" s="10">
        <v>750</v>
      </c>
      <c r="M15" s="11" t="s">
        <v>127</v>
      </c>
      <c r="N15" s="11"/>
      <c r="O15" s="11"/>
      <c r="P15" s="11"/>
      <c r="Q15" s="6"/>
      <c r="R15" s="6"/>
      <c r="S15" s="6"/>
      <c r="T15" s="6" t="s">
        <v>49</v>
      </c>
    </row>
    <row r="16" ht="28.8" spans="1:20">
      <c r="A16" s="6" t="s">
        <v>45</v>
      </c>
      <c r="B16" s="6" t="s">
        <v>56</v>
      </c>
      <c r="C16" s="11" t="s">
        <v>67</v>
      </c>
      <c r="D16" s="6" t="s">
        <v>58</v>
      </c>
      <c r="E16" s="6" t="s">
        <v>59</v>
      </c>
      <c r="F16" s="6" t="s">
        <v>128</v>
      </c>
      <c r="G16" s="6" t="s">
        <v>129</v>
      </c>
      <c r="H16" s="6" t="s">
        <v>130</v>
      </c>
      <c r="I16" s="6" t="s">
        <v>131</v>
      </c>
      <c r="J16" s="6" t="s">
        <v>132</v>
      </c>
      <c r="K16" s="6" t="s">
        <v>49</v>
      </c>
      <c r="L16" s="10">
        <v>1500</v>
      </c>
      <c r="M16" s="11" t="s">
        <v>133</v>
      </c>
      <c r="N16" s="11"/>
      <c r="O16" s="11"/>
      <c r="P16" s="11"/>
      <c r="Q16" s="6"/>
      <c r="R16" s="6"/>
      <c r="S16" s="6"/>
      <c r="T16" s="6" t="s">
        <v>49</v>
      </c>
    </row>
    <row r="17" ht="28.8" spans="1:20">
      <c r="A17" s="6" t="s">
        <v>45</v>
      </c>
      <c r="B17" s="6" t="s">
        <v>66</v>
      </c>
      <c r="C17" s="11" t="s">
        <v>134</v>
      </c>
      <c r="D17" s="6" t="s">
        <v>68</v>
      </c>
      <c r="E17" s="6" t="s">
        <v>69</v>
      </c>
      <c r="F17" s="6" t="s">
        <v>135</v>
      </c>
      <c r="G17" s="6" t="s">
        <v>136</v>
      </c>
      <c r="H17" s="6" t="s">
        <v>136</v>
      </c>
      <c r="I17" s="6" t="s">
        <v>137</v>
      </c>
      <c r="J17" s="6" t="s">
        <v>138</v>
      </c>
      <c r="K17" s="6" t="s">
        <v>49</v>
      </c>
      <c r="L17" s="10">
        <v>2000</v>
      </c>
      <c r="M17" s="11" t="s">
        <v>127</v>
      </c>
      <c r="N17" s="11"/>
      <c r="O17" s="11"/>
      <c r="P17" s="11"/>
      <c r="Q17" s="6"/>
      <c r="R17" s="6"/>
      <c r="S17" s="6"/>
      <c r="T17" s="6" t="s">
        <v>49</v>
      </c>
    </row>
    <row r="18" ht="41.4" spans="1:20">
      <c r="A18" s="6" t="s">
        <v>45</v>
      </c>
      <c r="B18" s="6" t="s">
        <v>139</v>
      </c>
      <c r="C18" s="11" t="s">
        <v>140</v>
      </c>
      <c r="D18" s="6" t="s">
        <v>141</v>
      </c>
      <c r="E18" s="6" t="s">
        <v>49</v>
      </c>
      <c r="F18" s="6" t="s">
        <v>142</v>
      </c>
      <c r="G18" s="6" t="s">
        <v>143</v>
      </c>
      <c r="H18" s="6" t="s">
        <v>144</v>
      </c>
      <c r="I18" s="6" t="s">
        <v>145</v>
      </c>
      <c r="J18" s="6" t="s">
        <v>146</v>
      </c>
      <c r="K18" s="6" t="s">
        <v>49</v>
      </c>
      <c r="L18" s="10">
        <v>1037</v>
      </c>
      <c r="M18" s="11" t="s">
        <v>147</v>
      </c>
      <c r="N18" s="11"/>
      <c r="O18" s="11"/>
      <c r="P18" s="11"/>
      <c r="Q18" s="6"/>
      <c r="R18" s="6"/>
      <c r="S18" s="6"/>
      <c r="T18" s="6" t="s">
        <v>49</v>
      </c>
    </row>
    <row r="19" ht="28.8" spans="1:20">
      <c r="A19" s="6" t="s">
        <v>45</v>
      </c>
      <c r="B19" s="6" t="s">
        <v>139</v>
      </c>
      <c r="C19" s="11" t="s">
        <v>140</v>
      </c>
      <c r="D19" s="6" t="s">
        <v>141</v>
      </c>
      <c r="E19" s="6" t="s">
        <v>49</v>
      </c>
      <c r="F19" s="6" t="s">
        <v>148</v>
      </c>
      <c r="G19" s="6" t="s">
        <v>149</v>
      </c>
      <c r="H19" s="6" t="s">
        <v>150</v>
      </c>
      <c r="I19" s="6" t="s">
        <v>151</v>
      </c>
      <c r="J19" s="6" t="s">
        <v>152</v>
      </c>
      <c r="K19" s="6" t="s">
        <v>49</v>
      </c>
      <c r="L19" s="10">
        <v>628</v>
      </c>
      <c r="M19" s="11" t="s">
        <v>153</v>
      </c>
      <c r="N19" s="11"/>
      <c r="O19" s="11"/>
      <c r="P19" s="11"/>
      <c r="Q19" s="6"/>
      <c r="R19" s="6"/>
      <c r="S19" s="6"/>
      <c r="T19" s="6" t="s">
        <v>49</v>
      </c>
    </row>
    <row r="20" ht="28.8" spans="1:20">
      <c r="A20" s="6" t="s">
        <v>45</v>
      </c>
      <c r="B20" s="6" t="s">
        <v>154</v>
      </c>
      <c r="C20" s="11" t="s">
        <v>155</v>
      </c>
      <c r="D20" s="6" t="s">
        <v>156</v>
      </c>
      <c r="E20" s="6" t="s">
        <v>49</v>
      </c>
      <c r="F20" s="6" t="s">
        <v>157</v>
      </c>
      <c r="G20" s="6" t="s">
        <v>158</v>
      </c>
      <c r="H20" s="6" t="s">
        <v>159</v>
      </c>
      <c r="I20" s="6" t="s">
        <v>160</v>
      </c>
      <c r="J20" s="6" t="s">
        <v>161</v>
      </c>
      <c r="K20" s="6" t="s">
        <v>49</v>
      </c>
      <c r="L20" s="10">
        <v>50</v>
      </c>
      <c r="M20" s="11" t="s">
        <v>162</v>
      </c>
      <c r="N20" s="11"/>
      <c r="O20" s="11"/>
      <c r="P20" s="11"/>
      <c r="Q20" s="6"/>
      <c r="R20" s="6"/>
      <c r="S20" s="6"/>
      <c r="T20" s="6" t="s">
        <v>49</v>
      </c>
    </row>
    <row r="21" ht="28.8" spans="1:20">
      <c r="A21" s="6" t="s">
        <v>45</v>
      </c>
      <c r="B21" s="6" t="s">
        <v>154</v>
      </c>
      <c r="C21" s="11" t="s">
        <v>155</v>
      </c>
      <c r="D21" s="6" t="s">
        <v>156</v>
      </c>
      <c r="E21" s="6" t="s">
        <v>49</v>
      </c>
      <c r="F21" s="6" t="s">
        <v>163</v>
      </c>
      <c r="G21" s="6" t="s">
        <v>164</v>
      </c>
      <c r="H21" s="6" t="s">
        <v>165</v>
      </c>
      <c r="I21" s="6" t="s">
        <v>166</v>
      </c>
      <c r="J21" s="6" t="s">
        <v>161</v>
      </c>
      <c r="K21" s="6" t="s">
        <v>49</v>
      </c>
      <c r="L21" s="10">
        <v>50</v>
      </c>
      <c r="M21" s="11" t="s">
        <v>162</v>
      </c>
      <c r="N21" s="11"/>
      <c r="O21" s="11"/>
      <c r="P21" s="11"/>
      <c r="Q21" s="6"/>
      <c r="R21" s="6"/>
      <c r="S21" s="6"/>
      <c r="T21" s="6" t="s">
        <v>49</v>
      </c>
    </row>
    <row r="22" ht="28.8" spans="1:20">
      <c r="A22" s="6" t="s">
        <v>45</v>
      </c>
      <c r="B22" s="6" t="s">
        <v>154</v>
      </c>
      <c r="C22" s="11" t="s">
        <v>155</v>
      </c>
      <c r="D22" s="6" t="s">
        <v>156</v>
      </c>
      <c r="E22" s="6" t="s">
        <v>49</v>
      </c>
      <c r="F22" s="6" t="s">
        <v>167</v>
      </c>
      <c r="G22" s="6" t="s">
        <v>168</v>
      </c>
      <c r="H22" s="6" t="s">
        <v>169</v>
      </c>
      <c r="I22" s="6" t="s">
        <v>170</v>
      </c>
      <c r="J22" s="6" t="s">
        <v>171</v>
      </c>
      <c r="K22" s="6" t="s">
        <v>49</v>
      </c>
      <c r="L22" s="10">
        <v>50</v>
      </c>
      <c r="M22" s="11" t="s">
        <v>162</v>
      </c>
      <c r="N22" s="11"/>
      <c r="O22" s="11"/>
      <c r="P22" s="11"/>
      <c r="Q22" s="6"/>
      <c r="R22" s="6"/>
      <c r="S22" s="6"/>
      <c r="T22" s="6" t="s">
        <v>49</v>
      </c>
    </row>
    <row r="23" ht="28.8" spans="1:20">
      <c r="A23" s="6" t="s">
        <v>45</v>
      </c>
      <c r="B23" s="6" t="s">
        <v>154</v>
      </c>
      <c r="C23" s="11" t="s">
        <v>155</v>
      </c>
      <c r="D23" s="6" t="s">
        <v>156</v>
      </c>
      <c r="E23" s="6" t="s">
        <v>49</v>
      </c>
      <c r="F23" s="6" t="s">
        <v>172</v>
      </c>
      <c r="G23" s="6" t="s">
        <v>173</v>
      </c>
      <c r="H23" s="6" t="s">
        <v>174</v>
      </c>
      <c r="I23" s="6" t="s">
        <v>175</v>
      </c>
      <c r="J23" s="6" t="s">
        <v>171</v>
      </c>
      <c r="K23" s="6" t="s">
        <v>49</v>
      </c>
      <c r="L23" s="10">
        <v>50</v>
      </c>
      <c r="M23" s="11" t="s">
        <v>162</v>
      </c>
      <c r="N23" s="11"/>
      <c r="O23" s="11"/>
      <c r="P23" s="11"/>
      <c r="Q23" s="6"/>
      <c r="R23" s="6"/>
      <c r="S23" s="6"/>
      <c r="T23" s="6" t="s">
        <v>49</v>
      </c>
    </row>
    <row r="24" ht="28.8" spans="1:20">
      <c r="A24" s="6" t="s">
        <v>45</v>
      </c>
      <c r="B24" s="6" t="s">
        <v>154</v>
      </c>
      <c r="C24" s="11" t="s">
        <v>155</v>
      </c>
      <c r="D24" s="6" t="s">
        <v>156</v>
      </c>
      <c r="E24" s="6" t="s">
        <v>49</v>
      </c>
      <c r="F24" s="6" t="s">
        <v>176</v>
      </c>
      <c r="G24" s="6" t="s">
        <v>177</v>
      </c>
      <c r="H24" s="6" t="s">
        <v>178</v>
      </c>
      <c r="I24" s="6" t="s">
        <v>179</v>
      </c>
      <c r="J24" s="6" t="s">
        <v>161</v>
      </c>
      <c r="K24" s="6" t="s">
        <v>49</v>
      </c>
      <c r="L24" s="10">
        <v>50</v>
      </c>
      <c r="M24" s="11" t="s">
        <v>133</v>
      </c>
      <c r="N24" s="11"/>
      <c r="O24" s="11"/>
      <c r="P24" s="11"/>
      <c r="Q24" s="6"/>
      <c r="R24" s="6"/>
      <c r="S24" s="6"/>
      <c r="T24" s="6" t="s">
        <v>49</v>
      </c>
    </row>
    <row r="25" ht="28.8" spans="1:20">
      <c r="A25" s="6" t="s">
        <v>45</v>
      </c>
      <c r="B25" s="6" t="s">
        <v>77</v>
      </c>
      <c r="C25" s="11" t="s">
        <v>180</v>
      </c>
      <c r="D25" s="6" t="s">
        <v>181</v>
      </c>
      <c r="E25" s="6" t="s">
        <v>49</v>
      </c>
      <c r="F25" s="6" t="s">
        <v>182</v>
      </c>
      <c r="G25" s="6" t="s">
        <v>183</v>
      </c>
      <c r="H25" s="6" t="s">
        <v>184</v>
      </c>
      <c r="I25" s="6" t="s">
        <v>185</v>
      </c>
      <c r="J25" s="6" t="s">
        <v>186</v>
      </c>
      <c r="K25" s="6" t="s">
        <v>187</v>
      </c>
      <c r="L25" s="10">
        <v>1400</v>
      </c>
      <c r="M25" s="11" t="s">
        <v>188</v>
      </c>
      <c r="N25" s="11"/>
      <c r="O25" s="11"/>
      <c r="P25" s="11"/>
      <c r="Q25" s="6"/>
      <c r="R25" s="6"/>
      <c r="S25" s="6"/>
      <c r="T25" s="6" t="s">
        <v>49</v>
      </c>
    </row>
    <row r="26" ht="28.8" spans="1:20">
      <c r="A26" s="6" t="s">
        <v>45</v>
      </c>
      <c r="B26" s="6" t="s">
        <v>139</v>
      </c>
      <c r="C26" s="11" t="s">
        <v>189</v>
      </c>
      <c r="D26" s="6" t="s">
        <v>190</v>
      </c>
      <c r="E26" s="6" t="s">
        <v>49</v>
      </c>
      <c r="F26" s="6" t="s">
        <v>191</v>
      </c>
      <c r="G26" s="6" t="s">
        <v>192</v>
      </c>
      <c r="H26" s="6" t="s">
        <v>193</v>
      </c>
      <c r="I26" s="6" t="s">
        <v>194</v>
      </c>
      <c r="J26" s="6" t="s">
        <v>195</v>
      </c>
      <c r="K26" s="6" t="s">
        <v>49</v>
      </c>
      <c r="L26" s="10">
        <v>2000</v>
      </c>
      <c r="M26" s="11" t="s">
        <v>196</v>
      </c>
      <c r="N26" s="11"/>
      <c r="O26" s="11"/>
      <c r="P26" s="11"/>
      <c r="Q26" s="6"/>
      <c r="R26" s="6"/>
      <c r="S26" s="6"/>
      <c r="T26" s="6" t="s">
        <v>49</v>
      </c>
    </row>
    <row r="27" ht="28.8" spans="1:20">
      <c r="A27" s="6" t="s">
        <v>45</v>
      </c>
      <c r="B27" s="6" t="s">
        <v>139</v>
      </c>
      <c r="C27" s="11" t="s">
        <v>189</v>
      </c>
      <c r="D27" s="6" t="s">
        <v>190</v>
      </c>
      <c r="E27" s="6" t="s">
        <v>49</v>
      </c>
      <c r="F27" s="6" t="s">
        <v>197</v>
      </c>
      <c r="G27" s="6" t="s">
        <v>198</v>
      </c>
      <c r="H27" s="6" t="s">
        <v>199</v>
      </c>
      <c r="I27" s="6" t="s">
        <v>200</v>
      </c>
      <c r="J27" s="6" t="s">
        <v>201</v>
      </c>
      <c r="K27" s="6" t="s">
        <v>49</v>
      </c>
      <c r="L27" s="10">
        <v>800</v>
      </c>
      <c r="M27" s="11" t="s">
        <v>196</v>
      </c>
      <c r="N27" s="11"/>
      <c r="O27" s="11"/>
      <c r="P27" s="11"/>
      <c r="Q27" s="6"/>
      <c r="R27" s="6"/>
      <c r="S27" s="6"/>
      <c r="T27" s="6" t="s">
        <v>49</v>
      </c>
    </row>
    <row r="28" ht="28.8" spans="1:20">
      <c r="A28" s="6" t="s">
        <v>45</v>
      </c>
      <c r="B28" s="6" t="s">
        <v>77</v>
      </c>
      <c r="C28" s="11" t="s">
        <v>202</v>
      </c>
      <c r="D28" s="6" t="s">
        <v>181</v>
      </c>
      <c r="E28" s="6" t="s">
        <v>49</v>
      </c>
      <c r="F28" s="6" t="s">
        <v>203</v>
      </c>
      <c r="G28" s="6" t="s">
        <v>204</v>
      </c>
      <c r="H28" s="6" t="s">
        <v>204</v>
      </c>
      <c r="I28" s="6" t="s">
        <v>205</v>
      </c>
      <c r="J28" s="6" t="s">
        <v>206</v>
      </c>
      <c r="K28" s="6" t="s">
        <v>49</v>
      </c>
      <c r="L28" s="10">
        <v>550</v>
      </c>
      <c r="M28" s="11" t="s">
        <v>133</v>
      </c>
      <c r="N28" s="11"/>
      <c r="O28" s="11"/>
      <c r="P28" s="11"/>
      <c r="Q28" s="6"/>
      <c r="R28" s="6"/>
      <c r="S28" s="6"/>
      <c r="T28" s="6" t="s">
        <v>49</v>
      </c>
    </row>
    <row r="29" ht="28.8" spans="1:20">
      <c r="A29" s="6" t="s">
        <v>45</v>
      </c>
      <c r="B29" s="6" t="s">
        <v>77</v>
      </c>
      <c r="C29" s="11" t="s">
        <v>202</v>
      </c>
      <c r="D29" s="6" t="s">
        <v>181</v>
      </c>
      <c r="E29" s="6" t="s">
        <v>49</v>
      </c>
      <c r="F29" s="6" t="s">
        <v>207</v>
      </c>
      <c r="G29" s="6" t="s">
        <v>208</v>
      </c>
      <c r="H29" s="6" t="s">
        <v>208</v>
      </c>
      <c r="I29" s="6" t="s">
        <v>209</v>
      </c>
      <c r="J29" s="6" t="s">
        <v>206</v>
      </c>
      <c r="K29" s="6" t="s">
        <v>49</v>
      </c>
      <c r="L29" s="10">
        <v>600</v>
      </c>
      <c r="M29" s="11" t="s">
        <v>133</v>
      </c>
      <c r="N29" s="11"/>
      <c r="O29" s="11"/>
      <c r="P29" s="11"/>
      <c r="Q29" s="6"/>
      <c r="R29" s="6"/>
      <c r="S29" s="6"/>
      <c r="T29" s="6" t="s">
        <v>49</v>
      </c>
    </row>
    <row r="30" ht="28.8" spans="1:20">
      <c r="A30" s="6" t="s">
        <v>45</v>
      </c>
      <c r="B30" s="6" t="s">
        <v>77</v>
      </c>
      <c r="C30" s="11" t="s">
        <v>202</v>
      </c>
      <c r="D30" s="6" t="s">
        <v>181</v>
      </c>
      <c r="E30" s="6" t="s">
        <v>49</v>
      </c>
      <c r="F30" s="6" t="s">
        <v>210</v>
      </c>
      <c r="G30" s="6" t="s">
        <v>211</v>
      </c>
      <c r="H30" s="6" t="s">
        <v>211</v>
      </c>
      <c r="I30" s="6" t="s">
        <v>212</v>
      </c>
      <c r="J30" s="6" t="s">
        <v>206</v>
      </c>
      <c r="K30" s="6" t="s">
        <v>49</v>
      </c>
      <c r="L30" s="10">
        <v>3088</v>
      </c>
      <c r="M30" s="11" t="s">
        <v>213</v>
      </c>
      <c r="N30" s="11"/>
      <c r="O30" s="11"/>
      <c r="P30" s="11"/>
      <c r="Q30" s="6"/>
      <c r="R30" s="6"/>
      <c r="S30" s="6"/>
      <c r="T30" s="6" t="s">
        <v>49</v>
      </c>
    </row>
    <row r="31" ht="28.8" spans="1:20">
      <c r="A31" s="6" t="s">
        <v>45</v>
      </c>
      <c r="B31" s="6" t="s">
        <v>77</v>
      </c>
      <c r="C31" s="11" t="s">
        <v>214</v>
      </c>
      <c r="D31" s="6" t="s">
        <v>79</v>
      </c>
      <c r="E31" s="6" t="s">
        <v>49</v>
      </c>
      <c r="F31" s="6" t="s">
        <v>215</v>
      </c>
      <c r="G31" s="6" t="s">
        <v>216</v>
      </c>
      <c r="H31" s="6" t="s">
        <v>217</v>
      </c>
      <c r="I31" s="6" t="s">
        <v>83</v>
      </c>
      <c r="J31" s="6" t="s">
        <v>218</v>
      </c>
      <c r="K31" s="6" t="s">
        <v>49</v>
      </c>
      <c r="L31" s="10">
        <v>3860</v>
      </c>
      <c r="M31" s="11" t="s">
        <v>219</v>
      </c>
      <c r="N31" s="11"/>
      <c r="O31" s="11"/>
      <c r="P31" s="11"/>
      <c r="Q31" s="6"/>
      <c r="R31" s="6"/>
      <c r="S31" s="6"/>
      <c r="T31" s="6" t="s">
        <v>49</v>
      </c>
    </row>
    <row r="32" ht="28.8" spans="1:20">
      <c r="A32" s="6" t="s">
        <v>45</v>
      </c>
      <c r="B32" s="6" t="s">
        <v>220</v>
      </c>
      <c r="C32" s="11" t="s">
        <v>221</v>
      </c>
      <c r="D32" s="6" t="s">
        <v>222</v>
      </c>
      <c r="E32" s="6" t="s">
        <v>49</v>
      </c>
      <c r="F32" s="6" t="s">
        <v>223</v>
      </c>
      <c r="G32" s="6" t="s">
        <v>224</v>
      </c>
      <c r="H32" s="6" t="s">
        <v>224</v>
      </c>
      <c r="I32" s="6" t="s">
        <v>225</v>
      </c>
      <c r="J32" s="6" t="s">
        <v>226</v>
      </c>
      <c r="K32" s="6" t="s">
        <v>49</v>
      </c>
      <c r="L32" s="10">
        <v>2731</v>
      </c>
      <c r="M32" s="11" t="s">
        <v>76</v>
      </c>
      <c r="N32" s="11"/>
      <c r="O32" s="11"/>
      <c r="P32" s="11"/>
      <c r="Q32" s="6"/>
      <c r="R32" s="6"/>
      <c r="S32" s="6"/>
      <c r="T32" s="6" t="s">
        <v>49</v>
      </c>
    </row>
    <row r="33" ht="28.8" spans="1:20">
      <c r="A33" s="6" t="s">
        <v>45</v>
      </c>
      <c r="B33" s="6" t="s">
        <v>220</v>
      </c>
      <c r="C33" s="11" t="s">
        <v>221</v>
      </c>
      <c r="D33" s="6" t="s">
        <v>222</v>
      </c>
      <c r="E33" s="6" t="s">
        <v>49</v>
      </c>
      <c r="F33" s="6" t="s">
        <v>227</v>
      </c>
      <c r="G33" s="6" t="s">
        <v>228</v>
      </c>
      <c r="H33" s="6" t="s">
        <v>228</v>
      </c>
      <c r="I33" s="6" t="s">
        <v>229</v>
      </c>
      <c r="J33" s="6" t="s">
        <v>230</v>
      </c>
      <c r="K33" s="6" t="s">
        <v>49</v>
      </c>
      <c r="L33" s="10">
        <v>477</v>
      </c>
      <c r="M33" s="11" t="s">
        <v>162</v>
      </c>
      <c r="N33" s="11"/>
      <c r="O33" s="11"/>
      <c r="P33" s="11"/>
      <c r="Q33" s="6"/>
      <c r="R33" s="6"/>
      <c r="S33" s="6"/>
      <c r="T33" s="6" t="s">
        <v>49</v>
      </c>
    </row>
    <row r="34" ht="28.8" spans="1:20">
      <c r="A34" s="6" t="s">
        <v>45</v>
      </c>
      <c r="B34" s="6" t="s">
        <v>220</v>
      </c>
      <c r="C34" s="11" t="s">
        <v>221</v>
      </c>
      <c r="D34" s="6" t="s">
        <v>222</v>
      </c>
      <c r="E34" s="6" t="s">
        <v>49</v>
      </c>
      <c r="F34" s="6" t="s">
        <v>231</v>
      </c>
      <c r="G34" s="6" t="s">
        <v>232</v>
      </c>
      <c r="H34" s="6" t="s">
        <v>232</v>
      </c>
      <c r="I34" s="6" t="s">
        <v>233</v>
      </c>
      <c r="J34" s="6" t="s">
        <v>234</v>
      </c>
      <c r="K34" s="6" t="s">
        <v>49</v>
      </c>
      <c r="L34" s="10">
        <v>111</v>
      </c>
      <c r="M34" s="11" t="s">
        <v>162</v>
      </c>
      <c r="N34" s="11"/>
      <c r="O34" s="11"/>
      <c r="P34" s="11"/>
      <c r="Q34" s="6"/>
      <c r="R34" s="6"/>
      <c r="S34" s="6"/>
      <c r="T34" s="6" t="s">
        <v>49</v>
      </c>
    </row>
    <row r="35" ht="28.8" spans="1:20">
      <c r="A35" s="6" t="s">
        <v>45</v>
      </c>
      <c r="B35" s="6" t="s">
        <v>220</v>
      </c>
      <c r="C35" s="11" t="s">
        <v>221</v>
      </c>
      <c r="D35" s="6" t="s">
        <v>222</v>
      </c>
      <c r="E35" s="6" t="s">
        <v>49</v>
      </c>
      <c r="F35" s="6" t="s">
        <v>235</v>
      </c>
      <c r="G35" s="6" t="s">
        <v>228</v>
      </c>
      <c r="H35" s="6" t="s">
        <v>228</v>
      </c>
      <c r="I35" s="6" t="s">
        <v>229</v>
      </c>
      <c r="J35" s="6" t="s">
        <v>230</v>
      </c>
      <c r="K35" s="6" t="s">
        <v>49</v>
      </c>
      <c r="L35" s="10">
        <v>457</v>
      </c>
      <c r="M35" s="11" t="s">
        <v>236</v>
      </c>
      <c r="N35" s="11"/>
      <c r="O35" s="11"/>
      <c r="P35" s="11"/>
      <c r="Q35" s="6"/>
      <c r="R35" s="6"/>
      <c r="S35" s="6"/>
      <c r="T35" s="6" t="s">
        <v>49</v>
      </c>
    </row>
    <row r="36" ht="28.8" spans="1:20">
      <c r="A36" s="6" t="s">
        <v>45</v>
      </c>
      <c r="B36" s="6" t="s">
        <v>46</v>
      </c>
      <c r="C36" s="11" t="s">
        <v>237</v>
      </c>
      <c r="D36" s="6" t="s">
        <v>238</v>
      </c>
      <c r="E36" s="6" t="s">
        <v>239</v>
      </c>
      <c r="F36" s="6" t="s">
        <v>240</v>
      </c>
      <c r="G36" s="6" t="s">
        <v>241</v>
      </c>
      <c r="H36" s="6" t="s">
        <v>241</v>
      </c>
      <c r="I36" s="6" t="s">
        <v>242</v>
      </c>
      <c r="J36" s="6" t="s">
        <v>243</v>
      </c>
      <c r="K36" s="6" t="s">
        <v>49</v>
      </c>
      <c r="L36" s="10">
        <v>1213</v>
      </c>
      <c r="M36" s="11" t="s">
        <v>244</v>
      </c>
      <c r="N36" s="11"/>
      <c r="O36" s="11"/>
      <c r="P36" s="11"/>
      <c r="Q36" s="6"/>
      <c r="R36" s="6"/>
      <c r="S36" s="6"/>
      <c r="T36" s="6" t="s">
        <v>49</v>
      </c>
    </row>
    <row r="37" ht="28.8" spans="1:20">
      <c r="A37" s="6" t="s">
        <v>45</v>
      </c>
      <c r="B37" s="6" t="s">
        <v>46</v>
      </c>
      <c r="C37" s="11" t="s">
        <v>237</v>
      </c>
      <c r="D37" s="6" t="s">
        <v>238</v>
      </c>
      <c r="E37" s="6" t="s">
        <v>239</v>
      </c>
      <c r="F37" s="6" t="s">
        <v>245</v>
      </c>
      <c r="G37" s="6" t="s">
        <v>246</v>
      </c>
      <c r="H37" s="6" t="s">
        <v>246</v>
      </c>
      <c r="I37" s="6" t="s">
        <v>247</v>
      </c>
      <c r="J37" s="6" t="s">
        <v>248</v>
      </c>
      <c r="K37" s="6" t="s">
        <v>49</v>
      </c>
      <c r="L37" s="10">
        <v>80</v>
      </c>
      <c r="M37" s="11" t="s">
        <v>244</v>
      </c>
      <c r="N37" s="11"/>
      <c r="O37" s="11"/>
      <c r="P37" s="11"/>
      <c r="Q37" s="6"/>
      <c r="R37" s="6"/>
      <c r="S37" s="6"/>
      <c r="T37" s="6" t="s">
        <v>49</v>
      </c>
    </row>
    <row r="38" ht="28.8" spans="1:20">
      <c r="A38" s="6" t="s">
        <v>45</v>
      </c>
      <c r="B38" s="6" t="s">
        <v>46</v>
      </c>
      <c r="C38" s="11" t="s">
        <v>237</v>
      </c>
      <c r="D38" s="6" t="s">
        <v>238</v>
      </c>
      <c r="E38" s="6" t="s">
        <v>239</v>
      </c>
      <c r="F38" s="6" t="s">
        <v>249</v>
      </c>
      <c r="G38" s="6" t="s">
        <v>250</v>
      </c>
      <c r="H38" s="6" t="s">
        <v>250</v>
      </c>
      <c r="I38" s="6" t="s">
        <v>251</v>
      </c>
      <c r="J38" s="6" t="s">
        <v>252</v>
      </c>
      <c r="K38" s="6" t="s">
        <v>49</v>
      </c>
      <c r="L38" s="10">
        <v>378</v>
      </c>
      <c r="M38" s="11" t="s">
        <v>244</v>
      </c>
      <c r="N38" s="11"/>
      <c r="O38" s="11"/>
      <c r="P38" s="11"/>
      <c r="Q38" s="6"/>
      <c r="R38" s="6"/>
      <c r="S38" s="6"/>
      <c r="T38" s="6" t="s">
        <v>49</v>
      </c>
    </row>
    <row r="39" ht="28.8" spans="1:20">
      <c r="A39" s="6" t="s">
        <v>45</v>
      </c>
      <c r="B39" s="6" t="s">
        <v>46</v>
      </c>
      <c r="C39" s="11" t="s">
        <v>237</v>
      </c>
      <c r="D39" s="6" t="s">
        <v>238</v>
      </c>
      <c r="E39" s="6" t="s">
        <v>239</v>
      </c>
      <c r="F39" s="6" t="s">
        <v>253</v>
      </c>
      <c r="G39" s="6" t="s">
        <v>254</v>
      </c>
      <c r="H39" s="6" t="s">
        <v>254</v>
      </c>
      <c r="I39" s="6" t="s">
        <v>255</v>
      </c>
      <c r="J39" s="6" t="s">
        <v>252</v>
      </c>
      <c r="K39" s="6" t="s">
        <v>49</v>
      </c>
      <c r="L39" s="10">
        <v>87</v>
      </c>
      <c r="M39" s="11" t="s">
        <v>244</v>
      </c>
      <c r="N39" s="11"/>
      <c r="O39" s="11"/>
      <c r="P39" s="11"/>
      <c r="Q39" s="6"/>
      <c r="R39" s="6"/>
      <c r="S39" s="6"/>
      <c r="T39" s="6" t="s">
        <v>49</v>
      </c>
    </row>
    <row r="40" ht="28.8" spans="1:20">
      <c r="A40" s="6" t="s">
        <v>45</v>
      </c>
      <c r="B40" s="6" t="s">
        <v>46</v>
      </c>
      <c r="C40" s="11" t="s">
        <v>237</v>
      </c>
      <c r="D40" s="6" t="s">
        <v>238</v>
      </c>
      <c r="E40" s="6" t="s">
        <v>239</v>
      </c>
      <c r="F40" s="6" t="s">
        <v>256</v>
      </c>
      <c r="G40" s="6" t="s">
        <v>257</v>
      </c>
      <c r="H40" s="6" t="s">
        <v>257</v>
      </c>
      <c r="I40" s="6" t="s">
        <v>242</v>
      </c>
      <c r="J40" s="6" t="s">
        <v>258</v>
      </c>
      <c r="K40" s="6" t="s">
        <v>49</v>
      </c>
      <c r="L40" s="10">
        <v>3295</v>
      </c>
      <c r="M40" s="11" t="s">
        <v>244</v>
      </c>
      <c r="N40" s="11"/>
      <c r="O40" s="11"/>
      <c r="P40" s="11"/>
      <c r="Q40" s="6"/>
      <c r="R40" s="6"/>
      <c r="S40" s="6"/>
      <c r="T40" s="6" t="s">
        <v>49</v>
      </c>
    </row>
    <row r="41" ht="28.8" spans="1:20">
      <c r="A41" s="6" t="s">
        <v>45</v>
      </c>
      <c r="B41" s="6" t="s">
        <v>46</v>
      </c>
      <c r="C41" s="11" t="s">
        <v>237</v>
      </c>
      <c r="D41" s="6" t="s">
        <v>238</v>
      </c>
      <c r="E41" s="6" t="s">
        <v>239</v>
      </c>
      <c r="F41" s="6" t="s">
        <v>259</v>
      </c>
      <c r="G41" s="6" t="s">
        <v>260</v>
      </c>
      <c r="H41" s="6" t="s">
        <v>260</v>
      </c>
      <c r="I41" s="6" t="s">
        <v>247</v>
      </c>
      <c r="J41" s="6" t="s">
        <v>261</v>
      </c>
      <c r="K41" s="6" t="s">
        <v>49</v>
      </c>
      <c r="L41" s="10">
        <v>206</v>
      </c>
      <c r="M41" s="11" t="s">
        <v>244</v>
      </c>
      <c r="N41" s="11"/>
      <c r="O41" s="11"/>
      <c r="P41" s="11"/>
      <c r="Q41" s="6"/>
      <c r="R41" s="6"/>
      <c r="S41" s="6"/>
      <c r="T41" s="6" t="s">
        <v>49</v>
      </c>
    </row>
    <row r="42" ht="28.8" spans="1:20">
      <c r="A42" s="6" t="s">
        <v>45</v>
      </c>
      <c r="B42" s="6" t="s">
        <v>46</v>
      </c>
      <c r="C42" s="11" t="s">
        <v>237</v>
      </c>
      <c r="D42" s="6" t="s">
        <v>238</v>
      </c>
      <c r="E42" s="6" t="s">
        <v>239</v>
      </c>
      <c r="F42" s="6" t="s">
        <v>262</v>
      </c>
      <c r="G42" s="6" t="s">
        <v>263</v>
      </c>
      <c r="H42" s="6" t="s">
        <v>263</v>
      </c>
      <c r="I42" s="6" t="s">
        <v>264</v>
      </c>
      <c r="J42" s="6" t="s">
        <v>265</v>
      </c>
      <c r="K42" s="6" t="s">
        <v>49</v>
      </c>
      <c r="L42" s="10">
        <v>1700</v>
      </c>
      <c r="M42" s="11" t="s">
        <v>244</v>
      </c>
      <c r="N42" s="11"/>
      <c r="O42" s="11"/>
      <c r="P42" s="11"/>
      <c r="Q42" s="6"/>
      <c r="R42" s="6"/>
      <c r="S42" s="6"/>
      <c r="T42" s="6" t="s">
        <v>49</v>
      </c>
    </row>
    <row r="43" ht="28.8" spans="1:20">
      <c r="A43" s="6" t="s">
        <v>45</v>
      </c>
      <c r="B43" s="6" t="s">
        <v>46</v>
      </c>
      <c r="C43" s="11" t="s">
        <v>237</v>
      </c>
      <c r="D43" s="6" t="s">
        <v>238</v>
      </c>
      <c r="E43" s="6" t="s">
        <v>239</v>
      </c>
      <c r="F43" s="6" t="s">
        <v>266</v>
      </c>
      <c r="G43" s="6" t="s">
        <v>267</v>
      </c>
      <c r="H43" s="6" t="s">
        <v>267</v>
      </c>
      <c r="I43" s="6" t="s">
        <v>268</v>
      </c>
      <c r="J43" s="6" t="s">
        <v>269</v>
      </c>
      <c r="K43" s="6" t="s">
        <v>49</v>
      </c>
      <c r="L43" s="10">
        <v>73</v>
      </c>
      <c r="M43" s="11" t="s">
        <v>244</v>
      </c>
      <c r="N43" s="11"/>
      <c r="O43" s="11"/>
      <c r="P43" s="11"/>
      <c r="Q43" s="6"/>
      <c r="R43" s="6"/>
      <c r="S43" s="6"/>
      <c r="T43" s="6" t="s">
        <v>49</v>
      </c>
    </row>
    <row r="44" ht="28.8" spans="1:20">
      <c r="A44" s="6" t="s">
        <v>45</v>
      </c>
      <c r="B44" s="6" t="s">
        <v>46</v>
      </c>
      <c r="C44" s="11" t="s">
        <v>237</v>
      </c>
      <c r="D44" s="6" t="s">
        <v>238</v>
      </c>
      <c r="E44" s="6" t="s">
        <v>239</v>
      </c>
      <c r="F44" s="6" t="s">
        <v>270</v>
      </c>
      <c r="G44" s="6" t="s">
        <v>271</v>
      </c>
      <c r="H44" s="6" t="s">
        <v>271</v>
      </c>
      <c r="I44" s="6" t="s">
        <v>251</v>
      </c>
      <c r="J44" s="6" t="s">
        <v>272</v>
      </c>
      <c r="K44" s="6" t="s">
        <v>49</v>
      </c>
      <c r="L44" s="10">
        <v>956</v>
      </c>
      <c r="M44" s="11" t="s">
        <v>244</v>
      </c>
      <c r="N44" s="11"/>
      <c r="O44" s="11"/>
      <c r="P44" s="11"/>
      <c r="Q44" s="6"/>
      <c r="R44" s="6"/>
      <c r="S44" s="6"/>
      <c r="T44" s="6" t="s">
        <v>49</v>
      </c>
    </row>
    <row r="45" ht="28.8" spans="1:20">
      <c r="A45" s="6" t="s">
        <v>45</v>
      </c>
      <c r="B45" s="6" t="s">
        <v>46</v>
      </c>
      <c r="C45" s="11" t="s">
        <v>237</v>
      </c>
      <c r="D45" s="6" t="s">
        <v>238</v>
      </c>
      <c r="E45" s="6" t="s">
        <v>239</v>
      </c>
      <c r="F45" s="6" t="s">
        <v>273</v>
      </c>
      <c r="G45" s="6" t="s">
        <v>274</v>
      </c>
      <c r="H45" s="6" t="s">
        <v>274</v>
      </c>
      <c r="I45" s="6" t="s">
        <v>255</v>
      </c>
      <c r="J45" s="6" t="s">
        <v>272</v>
      </c>
      <c r="K45" s="6" t="s">
        <v>49</v>
      </c>
      <c r="L45" s="10">
        <v>134</v>
      </c>
      <c r="M45" s="11" t="s">
        <v>244</v>
      </c>
      <c r="N45" s="11"/>
      <c r="O45" s="11"/>
      <c r="P45" s="11"/>
      <c r="Q45" s="6"/>
      <c r="R45" s="6"/>
      <c r="S45" s="6"/>
      <c r="T45" s="6" t="s">
        <v>49</v>
      </c>
    </row>
    <row r="46" ht="28.8" spans="1:20">
      <c r="A46" s="6" t="s">
        <v>45</v>
      </c>
      <c r="B46" s="6" t="s">
        <v>46</v>
      </c>
      <c r="C46" s="11" t="s">
        <v>237</v>
      </c>
      <c r="D46" s="6" t="s">
        <v>238</v>
      </c>
      <c r="E46" s="6" t="s">
        <v>239</v>
      </c>
      <c r="F46" s="6" t="s">
        <v>275</v>
      </c>
      <c r="G46" s="6" t="s">
        <v>276</v>
      </c>
      <c r="H46" s="6" t="s">
        <v>276</v>
      </c>
      <c r="I46" s="6" t="s">
        <v>277</v>
      </c>
      <c r="J46" s="6" t="s">
        <v>278</v>
      </c>
      <c r="K46" s="6" t="s">
        <v>49</v>
      </c>
      <c r="L46" s="10">
        <v>338</v>
      </c>
      <c r="M46" s="11" t="s">
        <v>244</v>
      </c>
      <c r="N46" s="11"/>
      <c r="O46" s="11"/>
      <c r="P46" s="11"/>
      <c r="Q46" s="6"/>
      <c r="R46" s="6"/>
      <c r="S46" s="6"/>
      <c r="T46" s="6" t="s">
        <v>49</v>
      </c>
    </row>
    <row r="47" ht="28.8" spans="1:20">
      <c r="A47" s="6" t="s">
        <v>45</v>
      </c>
      <c r="B47" s="6" t="s">
        <v>46</v>
      </c>
      <c r="C47" s="11" t="s">
        <v>237</v>
      </c>
      <c r="D47" s="6" t="s">
        <v>238</v>
      </c>
      <c r="E47" s="6" t="s">
        <v>239</v>
      </c>
      <c r="F47" s="6" t="s">
        <v>279</v>
      </c>
      <c r="G47" s="6" t="s">
        <v>280</v>
      </c>
      <c r="H47" s="6" t="s">
        <v>280</v>
      </c>
      <c r="I47" s="6" t="s">
        <v>281</v>
      </c>
      <c r="J47" s="6" t="s">
        <v>282</v>
      </c>
      <c r="K47" s="6" t="s">
        <v>49</v>
      </c>
      <c r="L47" s="10">
        <v>528</v>
      </c>
      <c r="M47" s="11" t="s">
        <v>244</v>
      </c>
      <c r="N47" s="11"/>
      <c r="O47" s="11"/>
      <c r="P47" s="11"/>
      <c r="Q47" s="6"/>
      <c r="R47" s="6"/>
      <c r="S47" s="6"/>
      <c r="T47" s="6" t="s">
        <v>49</v>
      </c>
    </row>
    <row r="48" ht="28.8" spans="1:20">
      <c r="A48" s="6" t="s">
        <v>45</v>
      </c>
      <c r="B48" s="6" t="s">
        <v>46</v>
      </c>
      <c r="C48" s="11" t="s">
        <v>237</v>
      </c>
      <c r="D48" s="6" t="s">
        <v>238</v>
      </c>
      <c r="E48" s="6" t="s">
        <v>239</v>
      </c>
      <c r="F48" s="6" t="s">
        <v>283</v>
      </c>
      <c r="G48" s="6" t="s">
        <v>284</v>
      </c>
      <c r="H48" s="6" t="s">
        <v>284</v>
      </c>
      <c r="I48" s="6" t="s">
        <v>285</v>
      </c>
      <c r="J48" s="6" t="s">
        <v>282</v>
      </c>
      <c r="K48" s="6" t="s">
        <v>49</v>
      </c>
      <c r="L48" s="10">
        <v>84</v>
      </c>
      <c r="M48" s="11" t="s">
        <v>244</v>
      </c>
      <c r="N48" s="11"/>
      <c r="O48" s="11"/>
      <c r="P48" s="11"/>
      <c r="Q48" s="6"/>
      <c r="R48" s="6"/>
      <c r="S48" s="6"/>
      <c r="T48" s="6" t="s">
        <v>49</v>
      </c>
    </row>
    <row r="49" ht="28.8" spans="1:20">
      <c r="A49" s="6" t="s">
        <v>45</v>
      </c>
      <c r="B49" s="6" t="s">
        <v>46</v>
      </c>
      <c r="C49" s="11" t="s">
        <v>237</v>
      </c>
      <c r="D49" s="6" t="s">
        <v>238</v>
      </c>
      <c r="E49" s="6" t="s">
        <v>239</v>
      </c>
      <c r="F49" s="6" t="s">
        <v>286</v>
      </c>
      <c r="G49" s="6" t="s">
        <v>287</v>
      </c>
      <c r="H49" s="6" t="s">
        <v>287</v>
      </c>
      <c r="I49" s="6" t="s">
        <v>288</v>
      </c>
      <c r="J49" s="6" t="s">
        <v>282</v>
      </c>
      <c r="K49" s="6" t="s">
        <v>49</v>
      </c>
      <c r="L49" s="10">
        <v>165</v>
      </c>
      <c r="M49" s="11" t="s">
        <v>244</v>
      </c>
      <c r="N49" s="11"/>
      <c r="O49" s="11"/>
      <c r="P49" s="11"/>
      <c r="Q49" s="6"/>
      <c r="R49" s="6"/>
      <c r="S49" s="6"/>
      <c r="T49" s="6" t="s">
        <v>49</v>
      </c>
    </row>
    <row r="50" ht="43.2" spans="1:20">
      <c r="A50" s="6" t="s">
        <v>45</v>
      </c>
      <c r="B50" s="6" t="s">
        <v>46</v>
      </c>
      <c r="C50" s="11" t="s">
        <v>237</v>
      </c>
      <c r="D50" s="6" t="s">
        <v>238</v>
      </c>
      <c r="E50" s="6" t="s">
        <v>239</v>
      </c>
      <c r="F50" s="6" t="s">
        <v>289</v>
      </c>
      <c r="G50" s="6" t="s">
        <v>290</v>
      </c>
      <c r="H50" s="6" t="s">
        <v>290</v>
      </c>
      <c r="I50" s="6" t="s">
        <v>291</v>
      </c>
      <c r="J50" s="6" t="s">
        <v>292</v>
      </c>
      <c r="K50" s="6" t="s">
        <v>49</v>
      </c>
      <c r="L50" s="10">
        <v>616</v>
      </c>
      <c r="M50" s="11" t="s">
        <v>244</v>
      </c>
      <c r="N50" s="11"/>
      <c r="O50" s="11"/>
      <c r="P50" s="11"/>
      <c r="Q50" s="6"/>
      <c r="R50" s="6"/>
      <c r="S50" s="6"/>
      <c r="T50" s="6" t="s">
        <v>49</v>
      </c>
    </row>
    <row r="51" ht="43.2" spans="1:20">
      <c r="A51" s="6" t="s">
        <v>45</v>
      </c>
      <c r="B51" s="6" t="s">
        <v>46</v>
      </c>
      <c r="C51" s="11" t="s">
        <v>237</v>
      </c>
      <c r="D51" s="6" t="s">
        <v>238</v>
      </c>
      <c r="E51" s="6" t="s">
        <v>239</v>
      </c>
      <c r="F51" s="6" t="s">
        <v>293</v>
      </c>
      <c r="G51" s="6" t="s">
        <v>294</v>
      </c>
      <c r="H51" s="6" t="s">
        <v>294</v>
      </c>
      <c r="I51" s="6" t="s">
        <v>295</v>
      </c>
      <c r="J51" s="6" t="s">
        <v>296</v>
      </c>
      <c r="K51" s="6" t="s">
        <v>49</v>
      </c>
      <c r="L51" s="10">
        <v>102</v>
      </c>
      <c r="M51" s="11" t="s">
        <v>244</v>
      </c>
      <c r="N51" s="11"/>
      <c r="O51" s="11"/>
      <c r="P51" s="11"/>
      <c r="Q51" s="6"/>
      <c r="R51" s="6"/>
      <c r="S51" s="6"/>
      <c r="T51" s="6" t="s">
        <v>49</v>
      </c>
    </row>
    <row r="52" ht="43.2" spans="1:20">
      <c r="A52" s="6" t="s">
        <v>45</v>
      </c>
      <c r="B52" s="6" t="s">
        <v>46</v>
      </c>
      <c r="C52" s="11" t="s">
        <v>237</v>
      </c>
      <c r="D52" s="6" t="s">
        <v>238</v>
      </c>
      <c r="E52" s="6" t="s">
        <v>239</v>
      </c>
      <c r="F52" s="6" t="s">
        <v>297</v>
      </c>
      <c r="G52" s="6" t="s">
        <v>298</v>
      </c>
      <c r="H52" s="6" t="s">
        <v>298</v>
      </c>
      <c r="I52" s="6" t="s">
        <v>299</v>
      </c>
      <c r="J52" s="6" t="s">
        <v>300</v>
      </c>
      <c r="K52" s="6" t="s">
        <v>49</v>
      </c>
      <c r="L52" s="10">
        <v>207</v>
      </c>
      <c r="M52" s="11" t="s">
        <v>244</v>
      </c>
      <c r="N52" s="11"/>
      <c r="O52" s="11"/>
      <c r="P52" s="11"/>
      <c r="Q52" s="6"/>
      <c r="R52" s="6"/>
      <c r="S52" s="6"/>
      <c r="T52" s="6" t="s">
        <v>49</v>
      </c>
    </row>
    <row r="53" ht="43.2" spans="1:20">
      <c r="A53" s="6" t="s">
        <v>45</v>
      </c>
      <c r="B53" s="6" t="s">
        <v>46</v>
      </c>
      <c r="C53" s="11" t="s">
        <v>237</v>
      </c>
      <c r="D53" s="6" t="s">
        <v>238</v>
      </c>
      <c r="E53" s="6" t="s">
        <v>239</v>
      </c>
      <c r="F53" s="6" t="s">
        <v>301</v>
      </c>
      <c r="G53" s="6" t="s">
        <v>302</v>
      </c>
      <c r="H53" s="6" t="s">
        <v>302</v>
      </c>
      <c r="I53" s="6" t="s">
        <v>303</v>
      </c>
      <c r="J53" s="6" t="s">
        <v>304</v>
      </c>
      <c r="K53" s="6" t="s">
        <v>49</v>
      </c>
      <c r="L53" s="10">
        <v>37</v>
      </c>
      <c r="M53" s="11" t="s">
        <v>244</v>
      </c>
      <c r="N53" s="11"/>
      <c r="O53" s="11"/>
      <c r="P53" s="11"/>
      <c r="Q53" s="6"/>
      <c r="R53" s="6"/>
      <c r="S53" s="6"/>
      <c r="T53" s="6" t="s">
        <v>49</v>
      </c>
    </row>
    <row r="54" ht="28.8" spans="1:20">
      <c r="A54" s="6" t="s">
        <v>45</v>
      </c>
      <c r="B54" s="6" t="s">
        <v>46</v>
      </c>
      <c r="C54" s="11" t="s">
        <v>237</v>
      </c>
      <c r="D54" s="6" t="s">
        <v>238</v>
      </c>
      <c r="E54" s="6" t="s">
        <v>239</v>
      </c>
      <c r="F54" s="6" t="s">
        <v>305</v>
      </c>
      <c r="G54" s="6" t="s">
        <v>306</v>
      </c>
      <c r="H54" s="6" t="s">
        <v>306</v>
      </c>
      <c r="I54" s="6" t="s">
        <v>242</v>
      </c>
      <c r="J54" s="6" t="s">
        <v>307</v>
      </c>
      <c r="K54" s="6" t="s">
        <v>49</v>
      </c>
      <c r="L54" s="10">
        <v>914</v>
      </c>
      <c r="M54" s="11" t="s">
        <v>308</v>
      </c>
      <c r="N54" s="11"/>
      <c r="O54" s="11"/>
      <c r="P54" s="11"/>
      <c r="Q54" s="6"/>
      <c r="R54" s="6"/>
      <c r="S54" s="6"/>
      <c r="T54" s="6" t="s">
        <v>49</v>
      </c>
    </row>
    <row r="55" ht="28.8" spans="1:20">
      <c r="A55" s="6" t="s">
        <v>45</v>
      </c>
      <c r="B55" s="6" t="s">
        <v>46</v>
      </c>
      <c r="C55" s="11" t="s">
        <v>237</v>
      </c>
      <c r="D55" s="6" t="s">
        <v>238</v>
      </c>
      <c r="E55" s="6" t="s">
        <v>239</v>
      </c>
      <c r="F55" s="6" t="s">
        <v>309</v>
      </c>
      <c r="G55" s="6" t="s">
        <v>310</v>
      </c>
      <c r="H55" s="6" t="s">
        <v>310</v>
      </c>
      <c r="I55" s="6" t="s">
        <v>247</v>
      </c>
      <c r="J55" s="6" t="s">
        <v>311</v>
      </c>
      <c r="K55" s="6" t="s">
        <v>49</v>
      </c>
      <c r="L55" s="10">
        <v>95</v>
      </c>
      <c r="M55" s="11" t="s">
        <v>308</v>
      </c>
      <c r="N55" s="11"/>
      <c r="O55" s="11"/>
      <c r="P55" s="11"/>
      <c r="Q55" s="6"/>
      <c r="R55" s="6"/>
      <c r="S55" s="6"/>
      <c r="T55" s="6" t="s">
        <v>49</v>
      </c>
    </row>
    <row r="56" ht="28.8" spans="1:20">
      <c r="A56" s="6" t="s">
        <v>45</v>
      </c>
      <c r="B56" s="6" t="s">
        <v>46</v>
      </c>
      <c r="C56" s="11" t="s">
        <v>237</v>
      </c>
      <c r="D56" s="6" t="s">
        <v>238</v>
      </c>
      <c r="E56" s="6" t="s">
        <v>239</v>
      </c>
      <c r="F56" s="6" t="s">
        <v>312</v>
      </c>
      <c r="G56" s="6" t="s">
        <v>313</v>
      </c>
      <c r="H56" s="6" t="s">
        <v>313</v>
      </c>
      <c r="I56" s="6" t="s">
        <v>314</v>
      </c>
      <c r="J56" s="6" t="s">
        <v>315</v>
      </c>
      <c r="K56" s="6" t="s">
        <v>316</v>
      </c>
      <c r="L56" s="10">
        <v>905</v>
      </c>
      <c r="M56" s="11" t="s">
        <v>188</v>
      </c>
      <c r="N56" s="11"/>
      <c r="O56" s="11"/>
      <c r="P56" s="11"/>
      <c r="Q56" s="6"/>
      <c r="R56" s="6"/>
      <c r="S56" s="6"/>
      <c r="T56" s="6" t="s">
        <v>49</v>
      </c>
    </row>
    <row r="57" ht="28.8" spans="1:20">
      <c r="A57" s="6" t="s">
        <v>45</v>
      </c>
      <c r="B57" s="6" t="s">
        <v>46</v>
      </c>
      <c r="C57" s="11" t="s">
        <v>237</v>
      </c>
      <c r="D57" s="6" t="s">
        <v>238</v>
      </c>
      <c r="E57" s="6" t="s">
        <v>239</v>
      </c>
      <c r="F57" s="6" t="s">
        <v>317</v>
      </c>
      <c r="G57" s="6" t="s">
        <v>318</v>
      </c>
      <c r="H57" s="6" t="s">
        <v>318</v>
      </c>
      <c r="I57" s="6" t="s">
        <v>319</v>
      </c>
      <c r="J57" s="6" t="s">
        <v>315</v>
      </c>
      <c r="K57" s="6" t="s">
        <v>49</v>
      </c>
      <c r="L57" s="10">
        <v>198</v>
      </c>
      <c r="M57" s="11" t="s">
        <v>188</v>
      </c>
      <c r="N57" s="11"/>
      <c r="O57" s="11"/>
      <c r="P57" s="11"/>
      <c r="Q57" s="6"/>
      <c r="R57" s="6"/>
      <c r="S57" s="6"/>
      <c r="T57" s="6" t="s">
        <v>49</v>
      </c>
    </row>
    <row r="58" ht="28.8" spans="1:20">
      <c r="A58" s="6" t="s">
        <v>45</v>
      </c>
      <c r="B58" s="6" t="s">
        <v>46</v>
      </c>
      <c r="C58" s="11" t="s">
        <v>237</v>
      </c>
      <c r="D58" s="6" t="s">
        <v>238</v>
      </c>
      <c r="E58" s="6" t="s">
        <v>239</v>
      </c>
      <c r="F58" s="6" t="s">
        <v>320</v>
      </c>
      <c r="G58" s="6" t="s">
        <v>321</v>
      </c>
      <c r="H58" s="6" t="s">
        <v>321</v>
      </c>
      <c r="I58" s="6" t="s">
        <v>314</v>
      </c>
      <c r="J58" s="6" t="s">
        <v>315</v>
      </c>
      <c r="K58" s="6" t="s">
        <v>316</v>
      </c>
      <c r="L58" s="10">
        <v>5146</v>
      </c>
      <c r="M58" s="11" t="s">
        <v>188</v>
      </c>
      <c r="N58" s="11"/>
      <c r="O58" s="11"/>
      <c r="P58" s="11"/>
      <c r="Q58" s="6"/>
      <c r="R58" s="6"/>
      <c r="S58" s="6"/>
      <c r="T58" s="6" t="s">
        <v>49</v>
      </c>
    </row>
    <row r="59" ht="28.8" spans="1:20">
      <c r="A59" s="6" t="s">
        <v>45</v>
      </c>
      <c r="B59" s="6" t="s">
        <v>46</v>
      </c>
      <c r="C59" s="11" t="s">
        <v>237</v>
      </c>
      <c r="D59" s="6" t="s">
        <v>238</v>
      </c>
      <c r="E59" s="6" t="s">
        <v>239</v>
      </c>
      <c r="F59" s="6" t="s">
        <v>322</v>
      </c>
      <c r="G59" s="6" t="s">
        <v>323</v>
      </c>
      <c r="H59" s="6" t="s">
        <v>323</v>
      </c>
      <c r="I59" s="6" t="s">
        <v>319</v>
      </c>
      <c r="J59" s="6" t="s">
        <v>315</v>
      </c>
      <c r="K59" s="6" t="s">
        <v>49</v>
      </c>
      <c r="L59" s="10">
        <v>712</v>
      </c>
      <c r="M59" s="11" t="s">
        <v>188</v>
      </c>
      <c r="N59" s="11"/>
      <c r="O59" s="11"/>
      <c r="P59" s="11"/>
      <c r="Q59" s="6"/>
      <c r="R59" s="6"/>
      <c r="S59" s="6"/>
      <c r="T59" s="6" t="s">
        <v>49</v>
      </c>
    </row>
    <row r="60" ht="28.8" spans="1:20">
      <c r="A60" s="6" t="s">
        <v>45</v>
      </c>
      <c r="B60" s="6" t="s">
        <v>46</v>
      </c>
      <c r="C60" s="11" t="s">
        <v>237</v>
      </c>
      <c r="D60" s="6" t="s">
        <v>238</v>
      </c>
      <c r="E60" s="6" t="s">
        <v>239</v>
      </c>
      <c r="F60" s="6" t="s">
        <v>324</v>
      </c>
      <c r="G60" s="6" t="s">
        <v>325</v>
      </c>
      <c r="H60" s="6" t="s">
        <v>325</v>
      </c>
      <c r="I60" s="6" t="s">
        <v>314</v>
      </c>
      <c r="J60" s="6" t="s">
        <v>315</v>
      </c>
      <c r="K60" s="6" t="s">
        <v>316</v>
      </c>
      <c r="L60" s="10">
        <v>2592</v>
      </c>
      <c r="M60" s="11" t="s">
        <v>188</v>
      </c>
      <c r="N60" s="11"/>
      <c r="O60" s="11"/>
      <c r="P60" s="11"/>
      <c r="Q60" s="6"/>
      <c r="R60" s="6"/>
      <c r="S60" s="6"/>
      <c r="T60" s="6" t="s">
        <v>49</v>
      </c>
    </row>
    <row r="61" ht="28.8" spans="1:20">
      <c r="A61" s="6" t="s">
        <v>45</v>
      </c>
      <c r="B61" s="6" t="s">
        <v>46</v>
      </c>
      <c r="C61" s="11" t="s">
        <v>237</v>
      </c>
      <c r="D61" s="6" t="s">
        <v>238</v>
      </c>
      <c r="E61" s="6" t="s">
        <v>239</v>
      </c>
      <c r="F61" s="6" t="s">
        <v>326</v>
      </c>
      <c r="G61" s="6" t="s">
        <v>327</v>
      </c>
      <c r="H61" s="6" t="s">
        <v>327</v>
      </c>
      <c r="I61" s="6" t="s">
        <v>319</v>
      </c>
      <c r="J61" s="6" t="s">
        <v>315</v>
      </c>
      <c r="K61" s="6" t="s">
        <v>49</v>
      </c>
      <c r="L61" s="10">
        <v>810</v>
      </c>
      <c r="M61" s="11" t="s">
        <v>188</v>
      </c>
      <c r="N61" s="11"/>
      <c r="O61" s="11"/>
      <c r="P61" s="11"/>
      <c r="Q61" s="6"/>
      <c r="R61" s="6"/>
      <c r="S61" s="6"/>
      <c r="T61" s="6" t="s">
        <v>49</v>
      </c>
    </row>
    <row r="62" ht="28.8" spans="1:20">
      <c r="A62" s="6" t="s">
        <v>45</v>
      </c>
      <c r="B62" s="6" t="s">
        <v>46</v>
      </c>
      <c r="C62" s="11" t="s">
        <v>237</v>
      </c>
      <c r="D62" s="6" t="s">
        <v>238</v>
      </c>
      <c r="E62" s="6" t="s">
        <v>239</v>
      </c>
      <c r="F62" s="6" t="s">
        <v>328</v>
      </c>
      <c r="G62" s="6" t="s">
        <v>329</v>
      </c>
      <c r="H62" s="6" t="s">
        <v>329</v>
      </c>
      <c r="I62" s="6" t="s">
        <v>314</v>
      </c>
      <c r="J62" s="6" t="s">
        <v>315</v>
      </c>
      <c r="K62" s="6" t="s">
        <v>316</v>
      </c>
      <c r="L62" s="10">
        <v>634</v>
      </c>
      <c r="M62" s="11" t="s">
        <v>188</v>
      </c>
      <c r="N62" s="11"/>
      <c r="O62" s="11"/>
      <c r="P62" s="11"/>
      <c r="Q62" s="6"/>
      <c r="R62" s="6"/>
      <c r="S62" s="6"/>
      <c r="T62" s="6" t="s">
        <v>49</v>
      </c>
    </row>
    <row r="63" ht="28.8" spans="1:20">
      <c r="A63" s="6" t="s">
        <v>45</v>
      </c>
      <c r="B63" s="6" t="s">
        <v>46</v>
      </c>
      <c r="C63" s="11" t="s">
        <v>237</v>
      </c>
      <c r="D63" s="6" t="s">
        <v>238</v>
      </c>
      <c r="E63" s="6" t="s">
        <v>239</v>
      </c>
      <c r="F63" s="6" t="s">
        <v>330</v>
      </c>
      <c r="G63" s="6" t="s">
        <v>331</v>
      </c>
      <c r="H63" s="6" t="s">
        <v>331</v>
      </c>
      <c r="I63" s="6" t="s">
        <v>319</v>
      </c>
      <c r="J63" s="6" t="s">
        <v>315</v>
      </c>
      <c r="K63" s="6" t="s">
        <v>49</v>
      </c>
      <c r="L63" s="10">
        <v>157</v>
      </c>
      <c r="M63" s="11" t="s">
        <v>188</v>
      </c>
      <c r="N63" s="11"/>
      <c r="O63" s="11"/>
      <c r="P63" s="11"/>
      <c r="Q63" s="6"/>
      <c r="R63" s="6"/>
      <c r="S63" s="6"/>
      <c r="T63" s="6" t="s">
        <v>49</v>
      </c>
    </row>
    <row r="64" ht="28.8" spans="1:20">
      <c r="A64" s="6" t="s">
        <v>45</v>
      </c>
      <c r="B64" s="6" t="s">
        <v>46</v>
      </c>
      <c r="C64" s="11" t="s">
        <v>237</v>
      </c>
      <c r="D64" s="6" t="s">
        <v>238</v>
      </c>
      <c r="E64" s="6" t="s">
        <v>239</v>
      </c>
      <c r="F64" s="6" t="s">
        <v>332</v>
      </c>
      <c r="G64" s="6" t="s">
        <v>333</v>
      </c>
      <c r="H64" s="6" t="s">
        <v>333</v>
      </c>
      <c r="I64" s="6" t="s">
        <v>314</v>
      </c>
      <c r="J64" s="6" t="s">
        <v>315</v>
      </c>
      <c r="K64" s="6" t="s">
        <v>316</v>
      </c>
      <c r="L64" s="10">
        <v>2338</v>
      </c>
      <c r="M64" s="11" t="s">
        <v>188</v>
      </c>
      <c r="N64" s="11"/>
      <c r="O64" s="11"/>
      <c r="P64" s="11"/>
      <c r="Q64" s="6"/>
      <c r="R64" s="6"/>
      <c r="S64" s="6"/>
      <c r="T64" s="6" t="s">
        <v>49</v>
      </c>
    </row>
    <row r="65" ht="28.8" spans="1:20">
      <c r="A65" s="6" t="s">
        <v>45</v>
      </c>
      <c r="B65" s="6" t="s">
        <v>46</v>
      </c>
      <c r="C65" s="11" t="s">
        <v>237</v>
      </c>
      <c r="D65" s="6" t="s">
        <v>238</v>
      </c>
      <c r="E65" s="6" t="s">
        <v>239</v>
      </c>
      <c r="F65" s="6" t="s">
        <v>334</v>
      </c>
      <c r="G65" s="6" t="s">
        <v>335</v>
      </c>
      <c r="H65" s="6" t="s">
        <v>335</v>
      </c>
      <c r="I65" s="6" t="s">
        <v>319</v>
      </c>
      <c r="J65" s="6" t="s">
        <v>315</v>
      </c>
      <c r="K65" s="6" t="s">
        <v>49</v>
      </c>
      <c r="L65" s="10">
        <v>330</v>
      </c>
      <c r="M65" s="11" t="s">
        <v>188</v>
      </c>
      <c r="N65" s="11"/>
      <c r="O65" s="11"/>
      <c r="P65" s="11"/>
      <c r="Q65" s="6"/>
      <c r="R65" s="6"/>
      <c r="S65" s="6"/>
      <c r="T65" s="6" t="s">
        <v>49</v>
      </c>
    </row>
    <row r="66" ht="28.8" spans="1:20">
      <c r="A66" s="6" t="s">
        <v>45</v>
      </c>
      <c r="B66" s="6" t="s">
        <v>46</v>
      </c>
      <c r="C66" s="11" t="s">
        <v>237</v>
      </c>
      <c r="D66" s="6" t="s">
        <v>238</v>
      </c>
      <c r="E66" s="6" t="s">
        <v>239</v>
      </c>
      <c r="F66" s="6" t="s">
        <v>336</v>
      </c>
      <c r="G66" s="6" t="s">
        <v>337</v>
      </c>
      <c r="H66" s="6" t="s">
        <v>337</v>
      </c>
      <c r="I66" s="6" t="s">
        <v>314</v>
      </c>
      <c r="J66" s="6" t="s">
        <v>315</v>
      </c>
      <c r="K66" s="6" t="s">
        <v>316</v>
      </c>
      <c r="L66" s="10">
        <v>886</v>
      </c>
      <c r="M66" s="11" t="s">
        <v>188</v>
      </c>
      <c r="N66" s="11"/>
      <c r="O66" s="11"/>
      <c r="P66" s="11"/>
      <c r="Q66" s="6"/>
      <c r="R66" s="6"/>
      <c r="S66" s="6"/>
      <c r="T66" s="6" t="s">
        <v>49</v>
      </c>
    </row>
    <row r="67" ht="28.8" spans="1:20">
      <c r="A67" s="6" t="s">
        <v>45</v>
      </c>
      <c r="B67" s="6" t="s">
        <v>46</v>
      </c>
      <c r="C67" s="11" t="s">
        <v>237</v>
      </c>
      <c r="D67" s="6" t="s">
        <v>238</v>
      </c>
      <c r="E67" s="6" t="s">
        <v>239</v>
      </c>
      <c r="F67" s="6" t="s">
        <v>338</v>
      </c>
      <c r="G67" s="6" t="s">
        <v>339</v>
      </c>
      <c r="H67" s="6" t="s">
        <v>339</v>
      </c>
      <c r="I67" s="6" t="s">
        <v>319</v>
      </c>
      <c r="J67" s="6" t="s">
        <v>315</v>
      </c>
      <c r="K67" s="6" t="s">
        <v>49</v>
      </c>
      <c r="L67" s="10">
        <v>252</v>
      </c>
      <c r="M67" s="11" t="s">
        <v>188</v>
      </c>
      <c r="N67" s="11"/>
      <c r="O67" s="11"/>
      <c r="P67" s="11"/>
      <c r="Q67" s="6"/>
      <c r="R67" s="6"/>
      <c r="S67" s="6"/>
      <c r="T67" s="6" t="s">
        <v>49</v>
      </c>
    </row>
    <row r="68" ht="28.8" spans="1:20">
      <c r="A68" s="6" t="s">
        <v>45</v>
      </c>
      <c r="B68" s="6" t="s">
        <v>154</v>
      </c>
      <c r="C68" s="11" t="s">
        <v>340</v>
      </c>
      <c r="D68" s="6" t="s">
        <v>341</v>
      </c>
      <c r="E68" s="6" t="s">
        <v>49</v>
      </c>
      <c r="F68" s="6" t="s">
        <v>342</v>
      </c>
      <c r="G68" s="6" t="s">
        <v>343</v>
      </c>
      <c r="H68" s="6" t="s">
        <v>344</v>
      </c>
      <c r="I68" s="6" t="s">
        <v>345</v>
      </c>
      <c r="J68" s="6" t="s">
        <v>346</v>
      </c>
      <c r="K68" s="6" t="s">
        <v>49</v>
      </c>
      <c r="L68" s="10">
        <v>101</v>
      </c>
      <c r="M68" s="11" t="s">
        <v>347</v>
      </c>
      <c r="N68" s="11"/>
      <c r="O68" s="11"/>
      <c r="P68" s="11"/>
      <c r="Q68" s="6"/>
      <c r="R68" s="6"/>
      <c r="S68" s="6"/>
      <c r="T68" s="6" t="s">
        <v>49</v>
      </c>
    </row>
    <row r="69" ht="28.8" spans="1:20">
      <c r="A69" s="6" t="s">
        <v>45</v>
      </c>
      <c r="B69" s="6" t="s">
        <v>154</v>
      </c>
      <c r="C69" s="11" t="s">
        <v>340</v>
      </c>
      <c r="D69" s="6" t="s">
        <v>341</v>
      </c>
      <c r="E69" s="6" t="s">
        <v>49</v>
      </c>
      <c r="F69" s="6" t="s">
        <v>348</v>
      </c>
      <c r="G69" s="6" t="s">
        <v>349</v>
      </c>
      <c r="H69" s="6" t="s">
        <v>350</v>
      </c>
      <c r="I69" s="6" t="s">
        <v>351</v>
      </c>
      <c r="J69" s="6" t="s">
        <v>352</v>
      </c>
      <c r="K69" s="6" t="s">
        <v>353</v>
      </c>
      <c r="L69" s="10">
        <v>847</v>
      </c>
      <c r="M69" s="11" t="s">
        <v>347</v>
      </c>
      <c r="N69" s="11"/>
      <c r="O69" s="11"/>
      <c r="P69" s="11"/>
      <c r="Q69" s="6"/>
      <c r="R69" s="6"/>
      <c r="S69" s="6"/>
      <c r="T69" s="6" t="s">
        <v>49</v>
      </c>
    </row>
    <row r="70" ht="28.8" spans="1:20">
      <c r="A70" s="6" t="s">
        <v>45</v>
      </c>
      <c r="B70" s="6" t="s">
        <v>154</v>
      </c>
      <c r="C70" s="11" t="s">
        <v>340</v>
      </c>
      <c r="D70" s="6" t="s">
        <v>341</v>
      </c>
      <c r="E70" s="6" t="s">
        <v>49</v>
      </c>
      <c r="F70" s="6" t="s">
        <v>354</v>
      </c>
      <c r="G70" s="6" t="s">
        <v>355</v>
      </c>
      <c r="H70" s="6" t="s">
        <v>356</v>
      </c>
      <c r="I70" s="6" t="s">
        <v>357</v>
      </c>
      <c r="J70" s="6" t="s">
        <v>352</v>
      </c>
      <c r="K70" s="6" t="s">
        <v>353</v>
      </c>
      <c r="L70" s="10">
        <v>189</v>
      </c>
      <c r="M70" s="11" t="s">
        <v>347</v>
      </c>
      <c r="N70" s="11"/>
      <c r="O70" s="11"/>
      <c r="P70" s="11"/>
      <c r="Q70" s="6"/>
      <c r="R70" s="6"/>
      <c r="S70" s="6"/>
      <c r="T70" s="6" t="s">
        <v>49</v>
      </c>
    </row>
    <row r="71" ht="28.8" spans="1:20">
      <c r="A71" s="6" t="s">
        <v>45</v>
      </c>
      <c r="B71" s="6" t="s">
        <v>154</v>
      </c>
      <c r="C71" s="11" t="s">
        <v>340</v>
      </c>
      <c r="D71" s="6" t="s">
        <v>341</v>
      </c>
      <c r="E71" s="6" t="s">
        <v>49</v>
      </c>
      <c r="F71" s="6" t="s">
        <v>358</v>
      </c>
      <c r="G71" s="6" t="s">
        <v>359</v>
      </c>
      <c r="H71" s="6" t="s">
        <v>356</v>
      </c>
      <c r="I71" s="6" t="s">
        <v>357</v>
      </c>
      <c r="J71" s="6" t="s">
        <v>352</v>
      </c>
      <c r="K71" s="6" t="s">
        <v>353</v>
      </c>
      <c r="L71" s="10">
        <v>230</v>
      </c>
      <c r="M71" s="11" t="s">
        <v>347</v>
      </c>
      <c r="N71" s="11"/>
      <c r="O71" s="11"/>
      <c r="P71" s="11"/>
      <c r="Q71" s="6"/>
      <c r="R71" s="6"/>
      <c r="S71" s="6"/>
      <c r="T71" s="6" t="s">
        <v>49</v>
      </c>
    </row>
    <row r="72" ht="28.8" spans="1:20">
      <c r="A72" s="6" t="s">
        <v>45</v>
      </c>
      <c r="B72" s="6" t="s">
        <v>154</v>
      </c>
      <c r="C72" s="11" t="s">
        <v>340</v>
      </c>
      <c r="D72" s="6" t="s">
        <v>341</v>
      </c>
      <c r="E72" s="6" t="s">
        <v>49</v>
      </c>
      <c r="F72" s="6" t="s">
        <v>360</v>
      </c>
      <c r="G72" s="6" t="s">
        <v>361</v>
      </c>
      <c r="H72" s="6" t="s">
        <v>362</v>
      </c>
      <c r="I72" s="6" t="s">
        <v>363</v>
      </c>
      <c r="J72" s="6" t="s">
        <v>352</v>
      </c>
      <c r="K72" s="6" t="s">
        <v>353</v>
      </c>
      <c r="L72" s="10">
        <v>189</v>
      </c>
      <c r="M72" s="11" t="s">
        <v>347</v>
      </c>
      <c r="N72" s="11"/>
      <c r="O72" s="11"/>
      <c r="P72" s="11"/>
      <c r="Q72" s="6"/>
      <c r="R72" s="6"/>
      <c r="S72" s="6"/>
      <c r="T72" s="6" t="s">
        <v>49</v>
      </c>
    </row>
    <row r="73" ht="28.8" spans="1:20">
      <c r="A73" s="6" t="s">
        <v>45</v>
      </c>
      <c r="B73" s="6" t="s">
        <v>154</v>
      </c>
      <c r="C73" s="11" t="s">
        <v>340</v>
      </c>
      <c r="D73" s="6" t="s">
        <v>341</v>
      </c>
      <c r="E73" s="6" t="s">
        <v>49</v>
      </c>
      <c r="F73" s="6" t="s">
        <v>364</v>
      </c>
      <c r="G73" s="6" t="s">
        <v>365</v>
      </c>
      <c r="H73" s="6" t="s">
        <v>366</v>
      </c>
      <c r="I73" s="6" t="s">
        <v>367</v>
      </c>
      <c r="J73" s="6" t="s">
        <v>352</v>
      </c>
      <c r="K73" s="6" t="s">
        <v>353</v>
      </c>
      <c r="L73" s="10">
        <v>847</v>
      </c>
      <c r="M73" s="11" t="s">
        <v>347</v>
      </c>
      <c r="N73" s="11"/>
      <c r="O73" s="11"/>
      <c r="P73" s="11"/>
      <c r="Q73" s="6"/>
      <c r="R73" s="6"/>
      <c r="S73" s="6"/>
      <c r="T73" s="6" t="s">
        <v>49</v>
      </c>
    </row>
    <row r="74" ht="28.8" spans="1:20">
      <c r="A74" s="6" t="s">
        <v>45</v>
      </c>
      <c r="B74" s="6" t="s">
        <v>154</v>
      </c>
      <c r="C74" s="11" t="s">
        <v>340</v>
      </c>
      <c r="D74" s="6" t="s">
        <v>341</v>
      </c>
      <c r="E74" s="6" t="s">
        <v>49</v>
      </c>
      <c r="F74" s="6" t="s">
        <v>368</v>
      </c>
      <c r="G74" s="6" t="s">
        <v>369</v>
      </c>
      <c r="H74" s="6" t="s">
        <v>370</v>
      </c>
      <c r="I74" s="6" t="s">
        <v>363</v>
      </c>
      <c r="J74" s="6" t="s">
        <v>352</v>
      </c>
      <c r="K74" s="6" t="s">
        <v>353</v>
      </c>
      <c r="L74" s="10">
        <v>230</v>
      </c>
      <c r="M74" s="11" t="s">
        <v>347</v>
      </c>
      <c r="N74" s="11"/>
      <c r="O74" s="11"/>
      <c r="P74" s="11"/>
      <c r="Q74" s="6"/>
      <c r="R74" s="6"/>
      <c r="S74" s="6"/>
      <c r="T74" s="6" t="s">
        <v>49</v>
      </c>
    </row>
    <row r="75" ht="28.8" spans="1:20">
      <c r="A75" s="6" t="s">
        <v>45</v>
      </c>
      <c r="B75" s="6" t="s">
        <v>56</v>
      </c>
      <c r="C75" s="11" t="s">
        <v>67</v>
      </c>
      <c r="D75" s="6" t="s">
        <v>58</v>
      </c>
      <c r="E75" s="6" t="s">
        <v>59</v>
      </c>
      <c r="F75" s="6" t="s">
        <v>371</v>
      </c>
      <c r="G75" s="6" t="s">
        <v>372</v>
      </c>
      <c r="H75" s="6" t="s">
        <v>130</v>
      </c>
      <c r="I75" s="6" t="s">
        <v>131</v>
      </c>
      <c r="J75" s="6" t="s">
        <v>132</v>
      </c>
      <c r="K75" s="6" t="s">
        <v>49</v>
      </c>
      <c r="L75" s="10">
        <v>1200</v>
      </c>
      <c r="M75" s="11" t="s">
        <v>133</v>
      </c>
      <c r="N75" s="11"/>
      <c r="O75" s="11"/>
      <c r="P75" s="11"/>
      <c r="Q75" s="6"/>
      <c r="R75" s="6"/>
      <c r="S75" s="6"/>
      <c r="T75" s="6" t="s">
        <v>49</v>
      </c>
    </row>
    <row r="76" ht="28.8" spans="1:20">
      <c r="A76" s="6" t="s">
        <v>45</v>
      </c>
      <c r="B76" s="6" t="s">
        <v>139</v>
      </c>
      <c r="C76" s="11" t="s">
        <v>340</v>
      </c>
      <c r="D76" s="6" t="s">
        <v>373</v>
      </c>
      <c r="E76" s="6" t="s">
        <v>49</v>
      </c>
      <c r="F76" s="6" t="s">
        <v>374</v>
      </c>
      <c r="G76" s="6" t="s">
        <v>375</v>
      </c>
      <c r="H76" s="6" t="s">
        <v>375</v>
      </c>
      <c r="I76" s="6" t="s">
        <v>376</v>
      </c>
      <c r="J76" s="6" t="s">
        <v>377</v>
      </c>
      <c r="K76" s="6" t="s">
        <v>49</v>
      </c>
      <c r="L76" s="10">
        <v>590</v>
      </c>
      <c r="M76" s="11" t="s">
        <v>213</v>
      </c>
      <c r="N76" s="11"/>
      <c r="O76" s="11"/>
      <c r="P76" s="11"/>
      <c r="Q76" s="6"/>
      <c r="R76" s="6"/>
      <c r="S76" s="6"/>
      <c r="T76" s="6" t="s">
        <v>49</v>
      </c>
    </row>
    <row r="77" ht="28.8" spans="1:20">
      <c r="A77" s="6" t="s">
        <v>45</v>
      </c>
      <c r="B77" s="6" t="s">
        <v>56</v>
      </c>
      <c r="C77" s="11" t="s">
        <v>102</v>
      </c>
      <c r="D77" s="6" t="s">
        <v>58</v>
      </c>
      <c r="E77" s="6" t="s">
        <v>59</v>
      </c>
      <c r="F77" s="6" t="s">
        <v>378</v>
      </c>
      <c r="G77" s="6" t="s">
        <v>379</v>
      </c>
      <c r="H77" s="6" t="s">
        <v>380</v>
      </c>
      <c r="I77" s="6" t="s">
        <v>381</v>
      </c>
      <c r="J77" s="6" t="s">
        <v>382</v>
      </c>
      <c r="K77" s="6" t="s">
        <v>49</v>
      </c>
      <c r="L77" s="10">
        <v>1000</v>
      </c>
      <c r="M77" s="11" t="s">
        <v>133</v>
      </c>
      <c r="N77" s="11"/>
      <c r="O77" s="11"/>
      <c r="P77" s="11"/>
      <c r="Q77" s="6"/>
      <c r="R77" s="6"/>
      <c r="S77" s="6"/>
      <c r="T77" s="6" t="s">
        <v>49</v>
      </c>
    </row>
    <row r="78" ht="28.8" spans="1:20">
      <c r="A78" s="6" t="s">
        <v>45</v>
      </c>
      <c r="B78" s="6" t="s">
        <v>46</v>
      </c>
      <c r="C78" s="11" t="s">
        <v>383</v>
      </c>
      <c r="D78" s="6" t="s">
        <v>384</v>
      </c>
      <c r="E78" s="6" t="s">
        <v>49</v>
      </c>
      <c r="F78" s="6" t="s">
        <v>385</v>
      </c>
      <c r="G78" s="6" t="s">
        <v>386</v>
      </c>
      <c r="H78" s="6" t="s">
        <v>386</v>
      </c>
      <c r="I78" s="6" t="s">
        <v>387</v>
      </c>
      <c r="J78" s="6" t="s">
        <v>388</v>
      </c>
      <c r="K78" s="6" t="s">
        <v>389</v>
      </c>
      <c r="L78" s="10">
        <v>4000</v>
      </c>
      <c r="M78" s="11" t="s">
        <v>390</v>
      </c>
      <c r="N78" s="11"/>
      <c r="O78" s="11"/>
      <c r="P78" s="11"/>
      <c r="Q78" s="6"/>
      <c r="R78" s="6"/>
      <c r="S78" s="6"/>
      <c r="T78" s="6" t="s">
        <v>49</v>
      </c>
    </row>
    <row r="79" ht="28.8" spans="1:20">
      <c r="A79" s="6" t="s">
        <v>45</v>
      </c>
      <c r="B79" s="6" t="s">
        <v>391</v>
      </c>
      <c r="C79" s="11" t="s">
        <v>392</v>
      </c>
      <c r="D79" s="6" t="s">
        <v>393</v>
      </c>
      <c r="E79" s="6" t="s">
        <v>49</v>
      </c>
      <c r="F79" s="6" t="s">
        <v>394</v>
      </c>
      <c r="G79" s="6" t="s">
        <v>395</v>
      </c>
      <c r="H79" s="6" t="s">
        <v>396</v>
      </c>
      <c r="I79" s="6" t="s">
        <v>397</v>
      </c>
      <c r="J79" s="6" t="s">
        <v>398</v>
      </c>
      <c r="K79" s="6" t="s">
        <v>49</v>
      </c>
      <c r="L79" s="10">
        <v>2700</v>
      </c>
      <c r="M79" s="11" t="s">
        <v>219</v>
      </c>
      <c r="N79" s="11"/>
      <c r="O79" s="11"/>
      <c r="P79" s="11"/>
      <c r="Q79" s="6"/>
      <c r="R79" s="6"/>
      <c r="S79" s="6"/>
      <c r="T79" s="6" t="s">
        <v>49</v>
      </c>
    </row>
    <row r="80" ht="28.8" spans="1:20">
      <c r="A80" s="6" t="s">
        <v>45</v>
      </c>
      <c r="B80" s="6" t="s">
        <v>391</v>
      </c>
      <c r="C80" s="11" t="s">
        <v>392</v>
      </c>
      <c r="D80" s="6" t="s">
        <v>393</v>
      </c>
      <c r="E80" s="6" t="s">
        <v>49</v>
      </c>
      <c r="F80" s="6" t="s">
        <v>399</v>
      </c>
      <c r="G80" s="6" t="s">
        <v>400</v>
      </c>
      <c r="H80" s="6" t="s">
        <v>396</v>
      </c>
      <c r="I80" s="6" t="s">
        <v>401</v>
      </c>
      <c r="J80" s="6" t="s">
        <v>398</v>
      </c>
      <c r="K80" s="6" t="s">
        <v>49</v>
      </c>
      <c r="L80" s="10">
        <v>1380</v>
      </c>
      <c r="M80" s="11" t="s">
        <v>219</v>
      </c>
      <c r="N80" s="11"/>
      <c r="O80" s="11"/>
      <c r="P80" s="11"/>
      <c r="Q80" s="6"/>
      <c r="R80" s="6"/>
      <c r="S80" s="6"/>
      <c r="T80" s="6" t="s">
        <v>49</v>
      </c>
    </row>
    <row r="81" ht="28.8" spans="1:20">
      <c r="A81" s="6" t="s">
        <v>45</v>
      </c>
      <c r="B81" s="6" t="s">
        <v>139</v>
      </c>
      <c r="C81" s="11" t="s">
        <v>402</v>
      </c>
      <c r="D81" s="6" t="s">
        <v>141</v>
      </c>
      <c r="E81" s="6" t="s">
        <v>49</v>
      </c>
      <c r="F81" s="6" t="s">
        <v>403</v>
      </c>
      <c r="G81" s="6" t="s">
        <v>404</v>
      </c>
      <c r="H81" s="6" t="s">
        <v>405</v>
      </c>
      <c r="I81" s="6" t="s">
        <v>406</v>
      </c>
      <c r="J81" s="6" t="s">
        <v>407</v>
      </c>
      <c r="K81" s="6" t="s">
        <v>49</v>
      </c>
      <c r="L81" s="10">
        <v>388</v>
      </c>
      <c r="M81" s="11" t="s">
        <v>147</v>
      </c>
      <c r="N81" s="11"/>
      <c r="O81" s="11"/>
      <c r="P81" s="11"/>
      <c r="Q81" s="6"/>
      <c r="R81" s="6"/>
      <c r="S81" s="6"/>
      <c r="T81" s="6" t="s">
        <v>49</v>
      </c>
    </row>
    <row r="82" ht="28.8" spans="1:20">
      <c r="A82" s="6" t="s">
        <v>45</v>
      </c>
      <c r="B82" s="6" t="s">
        <v>139</v>
      </c>
      <c r="C82" s="11" t="s">
        <v>402</v>
      </c>
      <c r="D82" s="6" t="s">
        <v>141</v>
      </c>
      <c r="E82" s="6" t="s">
        <v>49</v>
      </c>
      <c r="F82" s="6" t="s">
        <v>408</v>
      </c>
      <c r="G82" s="6" t="s">
        <v>409</v>
      </c>
      <c r="H82" s="6" t="s">
        <v>410</v>
      </c>
      <c r="I82" s="6" t="s">
        <v>411</v>
      </c>
      <c r="J82" s="6" t="s">
        <v>412</v>
      </c>
      <c r="K82" s="6" t="s">
        <v>49</v>
      </c>
      <c r="L82" s="10">
        <v>226</v>
      </c>
      <c r="M82" s="11" t="s">
        <v>147</v>
      </c>
      <c r="N82" s="11"/>
      <c r="O82" s="11"/>
      <c r="P82" s="11"/>
      <c r="Q82" s="6"/>
      <c r="R82" s="6"/>
      <c r="S82" s="6"/>
      <c r="T82" s="6" t="s">
        <v>49</v>
      </c>
    </row>
    <row r="83" ht="28.8" spans="1:20">
      <c r="A83" s="6" t="s">
        <v>45</v>
      </c>
      <c r="B83" s="6" t="s">
        <v>139</v>
      </c>
      <c r="C83" s="11" t="s">
        <v>402</v>
      </c>
      <c r="D83" s="6" t="s">
        <v>141</v>
      </c>
      <c r="E83" s="6" t="s">
        <v>49</v>
      </c>
      <c r="F83" s="6" t="s">
        <v>413</v>
      </c>
      <c r="G83" s="6" t="s">
        <v>414</v>
      </c>
      <c r="H83" s="6" t="s">
        <v>415</v>
      </c>
      <c r="I83" s="6" t="s">
        <v>411</v>
      </c>
      <c r="J83" s="6" t="s">
        <v>416</v>
      </c>
      <c r="K83" s="6" t="s">
        <v>49</v>
      </c>
      <c r="L83" s="10">
        <v>312</v>
      </c>
      <c r="M83" s="11" t="s">
        <v>417</v>
      </c>
      <c r="N83" s="11"/>
      <c r="O83" s="11"/>
      <c r="P83" s="11"/>
      <c r="Q83" s="6"/>
      <c r="R83" s="6"/>
      <c r="S83" s="6"/>
      <c r="T83" s="6" t="s">
        <v>49</v>
      </c>
    </row>
    <row r="84" ht="28.8" spans="1:20">
      <c r="A84" s="6" t="s">
        <v>45</v>
      </c>
      <c r="B84" s="6" t="s">
        <v>418</v>
      </c>
      <c r="C84" s="11" t="s">
        <v>402</v>
      </c>
      <c r="D84" s="6" t="s">
        <v>419</v>
      </c>
      <c r="E84" s="6" t="s">
        <v>59</v>
      </c>
      <c r="F84" s="6" t="s">
        <v>420</v>
      </c>
      <c r="G84" s="6" t="s">
        <v>421</v>
      </c>
      <c r="H84" s="6" t="s">
        <v>422</v>
      </c>
      <c r="I84" s="6" t="s">
        <v>423</v>
      </c>
      <c r="J84" s="6" t="s">
        <v>424</v>
      </c>
      <c r="K84" s="6" t="s">
        <v>49</v>
      </c>
      <c r="L84" s="10">
        <v>2400</v>
      </c>
      <c r="M84" s="11" t="s">
        <v>219</v>
      </c>
      <c r="N84" s="11"/>
      <c r="O84" s="11"/>
      <c r="P84" s="11"/>
      <c r="Q84" s="6"/>
      <c r="R84" s="6"/>
      <c r="S84" s="6"/>
      <c r="T84" s="6" t="s">
        <v>49</v>
      </c>
    </row>
  </sheetData>
  <mergeCells count="2">
    <mergeCell ref="A1:T1"/>
    <mergeCell ref="A3:T3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4"/>
  <sheetViews>
    <sheetView showGridLines="0" workbookViewId="0">
      <selection activeCell="A1" sqref="A1:M1"/>
    </sheetView>
  </sheetViews>
  <sheetFormatPr defaultColWidth="9" defaultRowHeight="13.8"/>
  <cols>
    <col min="1" max="1" width="11.25" customWidth="1"/>
    <col min="2" max="2" width="27.5" customWidth="1"/>
    <col min="3" max="3" width="10" customWidth="1"/>
    <col min="4" max="4" width="16.25" customWidth="1"/>
    <col min="5" max="5" width="12.5" customWidth="1"/>
    <col min="6" max="6" width="13.75" customWidth="1"/>
    <col min="7" max="8" width="11.25" customWidth="1"/>
    <col min="9" max="9" width="13.75" customWidth="1"/>
    <col min="10" max="10" width="15" customWidth="1"/>
    <col min="11" max="11" width="8.75" customWidth="1"/>
    <col min="12" max="12" width="15" customWidth="1"/>
    <col min="13" max="13" width="18.75" customWidth="1"/>
  </cols>
  <sheetData>
    <row r="1" ht="25.5" customHeight="1" spans="1:13">
      <c r="A1" s="1" t="s">
        <v>425</v>
      </c>
      <c r="B1" s="1" t="s">
        <v>425</v>
      </c>
      <c r="C1" s="1" t="s">
        <v>425</v>
      </c>
      <c r="D1" s="1" t="s">
        <v>425</v>
      </c>
      <c r="E1" s="1" t="s">
        <v>425</v>
      </c>
      <c r="F1" s="1" t="s">
        <v>425</v>
      </c>
      <c r="G1" s="1" t="s">
        <v>425</v>
      </c>
      <c r="H1" s="1" t="s">
        <v>425</v>
      </c>
      <c r="I1" s="1" t="s">
        <v>425</v>
      </c>
      <c r="J1" s="1" t="s">
        <v>425</v>
      </c>
      <c r="K1" s="1" t="s">
        <v>425</v>
      </c>
      <c r="L1" s="1" t="s">
        <v>425</v>
      </c>
      <c r="M1" s="1" t="s">
        <v>425</v>
      </c>
    </row>
    <row r="3" spans="1:13">
      <c r="A3" s="4" t="s">
        <v>426</v>
      </c>
      <c r="B3" s="4" t="s">
        <v>426</v>
      </c>
      <c r="C3" s="4" t="s">
        <v>426</v>
      </c>
      <c r="D3" s="4" t="s">
        <v>426</v>
      </c>
      <c r="E3" s="4" t="s">
        <v>426</v>
      </c>
      <c r="F3" s="4" t="s">
        <v>426</v>
      </c>
      <c r="G3" s="4" t="s">
        <v>426</v>
      </c>
      <c r="H3" s="4" t="s">
        <v>426</v>
      </c>
      <c r="I3" s="4" t="s">
        <v>426</v>
      </c>
      <c r="J3" s="4" t="s">
        <v>426</v>
      </c>
      <c r="K3" s="4" t="s">
        <v>426</v>
      </c>
      <c r="L3" s="4" t="s">
        <v>426</v>
      </c>
      <c r="M3" s="4" t="s">
        <v>426</v>
      </c>
    </row>
    <row r="4" ht="22.5" customHeight="1" spans="1:13">
      <c r="A4" s="5" t="s">
        <v>14</v>
      </c>
      <c r="B4" s="5" t="s">
        <v>15</v>
      </c>
      <c r="C4" s="5" t="s">
        <v>8</v>
      </c>
      <c r="D4" s="5" t="s">
        <v>427</v>
      </c>
      <c r="E4" s="5" t="s">
        <v>428</v>
      </c>
      <c r="F4" s="5" t="s">
        <v>429</v>
      </c>
      <c r="G4" s="5" t="s">
        <v>430</v>
      </c>
      <c r="H4" s="5" t="s">
        <v>431</v>
      </c>
      <c r="I4" s="5" t="s">
        <v>432</v>
      </c>
      <c r="J4" s="5" t="s">
        <v>433</v>
      </c>
      <c r="K4" s="5" t="s">
        <v>434</v>
      </c>
      <c r="L4" s="5" t="s">
        <v>435</v>
      </c>
      <c r="M4" s="5" t="s">
        <v>44</v>
      </c>
    </row>
    <row r="5" ht="14.4" spans="1:13">
      <c r="A5" s="6" t="s">
        <v>436</v>
      </c>
      <c r="B5" s="6" t="s">
        <v>54</v>
      </c>
      <c r="C5" s="6" t="s">
        <v>21</v>
      </c>
      <c r="D5" s="6" t="s">
        <v>49</v>
      </c>
      <c r="E5" s="6" t="s">
        <v>49</v>
      </c>
      <c r="F5" s="6" t="s">
        <v>49</v>
      </c>
      <c r="G5" s="6" t="s">
        <v>437</v>
      </c>
      <c r="H5" s="10">
        <v>80</v>
      </c>
      <c r="I5" s="10">
        <v>15</v>
      </c>
      <c r="J5" s="6" t="s">
        <v>438</v>
      </c>
      <c r="K5" s="6" t="s">
        <v>439</v>
      </c>
      <c r="L5" s="6" t="s">
        <v>49</v>
      </c>
      <c r="M5" s="6" t="s">
        <v>49</v>
      </c>
    </row>
    <row r="6" ht="14.4" spans="1:13">
      <c r="A6" s="6" t="s">
        <v>440</v>
      </c>
      <c r="B6" s="6" t="s">
        <v>64</v>
      </c>
      <c r="C6" s="6" t="s">
        <v>20</v>
      </c>
      <c r="D6" s="6" t="s">
        <v>49</v>
      </c>
      <c r="E6" s="6" t="s">
        <v>49</v>
      </c>
      <c r="F6" s="6" t="s">
        <v>49</v>
      </c>
      <c r="G6" s="6" t="s">
        <v>441</v>
      </c>
      <c r="H6" s="10">
        <v>30</v>
      </c>
      <c r="I6" s="10">
        <v>20</v>
      </c>
      <c r="J6" s="6" t="s">
        <v>442</v>
      </c>
      <c r="K6" s="6" t="s">
        <v>439</v>
      </c>
      <c r="L6" s="6" t="s">
        <v>49</v>
      </c>
      <c r="M6" s="6" t="s">
        <v>49</v>
      </c>
    </row>
    <row r="7" ht="14.4" spans="1:13">
      <c r="A7" s="6" t="s">
        <v>443</v>
      </c>
      <c r="B7" s="6" t="s">
        <v>444</v>
      </c>
      <c r="C7" s="6" t="s">
        <v>21</v>
      </c>
      <c r="D7" s="6" t="s">
        <v>49</v>
      </c>
      <c r="E7" s="6" t="s">
        <v>49</v>
      </c>
      <c r="F7" s="6" t="s">
        <v>75</v>
      </c>
      <c r="G7" s="6" t="s">
        <v>437</v>
      </c>
      <c r="H7" s="10">
        <v>80</v>
      </c>
      <c r="I7" s="10">
        <v>15</v>
      </c>
      <c r="J7" s="6" t="s">
        <v>438</v>
      </c>
      <c r="K7" s="6" t="s">
        <v>439</v>
      </c>
      <c r="L7" s="6" t="s">
        <v>49</v>
      </c>
      <c r="M7" s="6" t="s">
        <v>49</v>
      </c>
    </row>
    <row r="8" ht="14.4" spans="1:13">
      <c r="A8" s="6" t="s">
        <v>445</v>
      </c>
      <c r="B8" s="6" t="s">
        <v>446</v>
      </c>
      <c r="C8" s="6" t="s">
        <v>21</v>
      </c>
      <c r="D8" s="6" t="s">
        <v>49</v>
      </c>
      <c r="E8" s="6" t="s">
        <v>49</v>
      </c>
      <c r="F8" s="6" t="s">
        <v>75</v>
      </c>
      <c r="G8" s="6" t="s">
        <v>437</v>
      </c>
      <c r="H8" s="10">
        <v>80</v>
      </c>
      <c r="I8" s="10">
        <v>15</v>
      </c>
      <c r="J8" s="6" t="s">
        <v>438</v>
      </c>
      <c r="K8" s="6" t="s">
        <v>439</v>
      </c>
      <c r="L8" s="6" t="s">
        <v>49</v>
      </c>
      <c r="M8" s="6" t="s">
        <v>49</v>
      </c>
    </row>
    <row r="9" ht="14.4" spans="1:13">
      <c r="A9" s="6" t="s">
        <v>447</v>
      </c>
      <c r="B9" s="6" t="s">
        <v>448</v>
      </c>
      <c r="C9" s="6" t="s">
        <v>21</v>
      </c>
      <c r="D9" s="6" t="s">
        <v>49</v>
      </c>
      <c r="E9" s="6" t="s">
        <v>49</v>
      </c>
      <c r="F9" s="6" t="s">
        <v>49</v>
      </c>
      <c r="G9" s="6" t="s">
        <v>437</v>
      </c>
      <c r="H9" s="10">
        <v>80</v>
      </c>
      <c r="I9" s="10">
        <v>15</v>
      </c>
      <c r="J9" s="6" t="s">
        <v>438</v>
      </c>
      <c r="K9" s="6" t="s">
        <v>439</v>
      </c>
      <c r="L9" s="6" t="s">
        <v>49</v>
      </c>
      <c r="M9" s="6" t="s">
        <v>49</v>
      </c>
    </row>
    <row r="10" ht="14.4" spans="1:13">
      <c r="A10" s="6" t="s">
        <v>449</v>
      </c>
      <c r="B10" s="6" t="s">
        <v>450</v>
      </c>
      <c r="C10" s="6" t="s">
        <v>21</v>
      </c>
      <c r="D10" s="6" t="s">
        <v>49</v>
      </c>
      <c r="E10" s="6" t="s">
        <v>49</v>
      </c>
      <c r="F10" s="6" t="s">
        <v>49</v>
      </c>
      <c r="G10" s="6" t="s">
        <v>437</v>
      </c>
      <c r="H10" s="10">
        <v>80</v>
      </c>
      <c r="I10" s="10">
        <v>15</v>
      </c>
      <c r="J10" s="6" t="s">
        <v>438</v>
      </c>
      <c r="K10" s="6" t="s">
        <v>439</v>
      </c>
      <c r="L10" s="6" t="s">
        <v>49</v>
      </c>
      <c r="M10" s="6" t="s">
        <v>49</v>
      </c>
    </row>
    <row r="11" ht="14.4" spans="1:13">
      <c r="A11" s="6" t="s">
        <v>451</v>
      </c>
      <c r="B11" s="6" t="s">
        <v>90</v>
      </c>
      <c r="C11" s="6" t="s">
        <v>20</v>
      </c>
      <c r="D11" s="6" t="s">
        <v>49</v>
      </c>
      <c r="E11" s="6" t="s">
        <v>49</v>
      </c>
      <c r="F11" s="6" t="s">
        <v>49</v>
      </c>
      <c r="G11" s="6" t="s">
        <v>441</v>
      </c>
      <c r="H11" s="10">
        <v>30</v>
      </c>
      <c r="I11" s="10">
        <v>20</v>
      </c>
      <c r="J11" s="6" t="s">
        <v>442</v>
      </c>
      <c r="K11" s="6" t="s">
        <v>439</v>
      </c>
      <c r="L11" s="6" t="s">
        <v>49</v>
      </c>
      <c r="M11" s="6" t="s">
        <v>49</v>
      </c>
    </row>
    <row r="12" ht="14.4" spans="1:13">
      <c r="A12" s="6" t="s">
        <v>452</v>
      </c>
      <c r="B12" s="6" t="s">
        <v>90</v>
      </c>
      <c r="C12" s="6" t="s">
        <v>20</v>
      </c>
      <c r="D12" s="6" t="s">
        <v>49</v>
      </c>
      <c r="E12" s="6" t="s">
        <v>49</v>
      </c>
      <c r="F12" s="6" t="s">
        <v>49</v>
      </c>
      <c r="G12" s="6" t="s">
        <v>441</v>
      </c>
      <c r="H12" s="10">
        <v>30</v>
      </c>
      <c r="I12" s="10">
        <v>20</v>
      </c>
      <c r="J12" s="6" t="s">
        <v>442</v>
      </c>
      <c r="K12" s="6" t="s">
        <v>439</v>
      </c>
      <c r="L12" s="6" t="s">
        <v>49</v>
      </c>
      <c r="M12" s="6" t="s">
        <v>49</v>
      </c>
    </row>
    <row r="13" ht="14.4" spans="1:13">
      <c r="A13" s="6" t="s">
        <v>453</v>
      </c>
      <c r="B13" s="6" t="s">
        <v>95</v>
      </c>
      <c r="C13" s="6" t="s">
        <v>21</v>
      </c>
      <c r="D13" s="6" t="s">
        <v>49</v>
      </c>
      <c r="E13" s="6" t="s">
        <v>49</v>
      </c>
      <c r="F13" s="6" t="s">
        <v>49</v>
      </c>
      <c r="G13" s="6" t="s">
        <v>437</v>
      </c>
      <c r="H13" s="10">
        <v>80</v>
      </c>
      <c r="I13" s="10">
        <v>15</v>
      </c>
      <c r="J13" s="6" t="s">
        <v>438</v>
      </c>
      <c r="K13" s="6" t="s">
        <v>439</v>
      </c>
      <c r="L13" s="6" t="s">
        <v>49</v>
      </c>
      <c r="M13" s="6" t="s">
        <v>49</v>
      </c>
    </row>
    <row r="14" ht="14.4" spans="1:13">
      <c r="A14" s="6" t="s">
        <v>454</v>
      </c>
      <c r="B14" s="6" t="s">
        <v>455</v>
      </c>
      <c r="C14" s="6" t="s">
        <v>20</v>
      </c>
      <c r="D14" s="6" t="s">
        <v>49</v>
      </c>
      <c r="E14" s="6" t="s">
        <v>49</v>
      </c>
      <c r="F14" s="6" t="s">
        <v>49</v>
      </c>
      <c r="G14" s="6" t="s">
        <v>441</v>
      </c>
      <c r="H14" s="10">
        <v>30</v>
      </c>
      <c r="I14" s="10">
        <v>20</v>
      </c>
      <c r="J14" s="6" t="s">
        <v>442</v>
      </c>
      <c r="K14" s="6" t="s">
        <v>439</v>
      </c>
      <c r="L14" s="6" t="s">
        <v>49</v>
      </c>
      <c r="M14" s="6" t="s">
        <v>49</v>
      </c>
    </row>
    <row r="15" ht="14.4" spans="1:13">
      <c r="A15" s="6" t="s">
        <v>456</v>
      </c>
      <c r="B15" s="6" t="s">
        <v>457</v>
      </c>
      <c r="C15" s="6" t="s">
        <v>22</v>
      </c>
      <c r="D15" s="6" t="s">
        <v>49</v>
      </c>
      <c r="E15" s="6" t="s">
        <v>49</v>
      </c>
      <c r="F15" s="6" t="s">
        <v>49</v>
      </c>
      <c r="G15" s="6" t="s">
        <v>458</v>
      </c>
      <c r="H15" s="10">
        <v>100</v>
      </c>
      <c r="I15" s="10">
        <v>10</v>
      </c>
      <c r="J15" s="6" t="s">
        <v>459</v>
      </c>
      <c r="K15" s="6" t="s">
        <v>439</v>
      </c>
      <c r="L15" s="6" t="s">
        <v>49</v>
      </c>
      <c r="M15" s="6" t="s">
        <v>49</v>
      </c>
    </row>
    <row r="16" ht="14.4" spans="1:13">
      <c r="A16" s="6" t="s">
        <v>460</v>
      </c>
      <c r="B16" s="6" t="s">
        <v>461</v>
      </c>
      <c r="C16" s="6" t="s">
        <v>21</v>
      </c>
      <c r="D16" s="6" t="s">
        <v>49</v>
      </c>
      <c r="E16" s="6" t="s">
        <v>49</v>
      </c>
      <c r="F16" s="6" t="s">
        <v>49</v>
      </c>
      <c r="G16" s="6" t="s">
        <v>437</v>
      </c>
      <c r="H16" s="10">
        <v>80</v>
      </c>
      <c r="I16" s="10">
        <v>15</v>
      </c>
      <c r="J16" s="6" t="s">
        <v>438</v>
      </c>
      <c r="K16" s="6" t="s">
        <v>439</v>
      </c>
      <c r="L16" s="6" t="s">
        <v>49</v>
      </c>
      <c r="M16" s="6" t="s">
        <v>49</v>
      </c>
    </row>
    <row r="17" ht="14.4" spans="1:13">
      <c r="A17" s="6" t="s">
        <v>462</v>
      </c>
      <c r="B17" s="6" t="s">
        <v>463</v>
      </c>
      <c r="C17" s="6" t="s">
        <v>21</v>
      </c>
      <c r="D17" s="6" t="s">
        <v>49</v>
      </c>
      <c r="E17" s="6" t="s">
        <v>49</v>
      </c>
      <c r="F17" s="6" t="s">
        <v>49</v>
      </c>
      <c r="G17" s="6" t="s">
        <v>437</v>
      </c>
      <c r="H17" s="10">
        <v>80</v>
      </c>
      <c r="I17" s="10">
        <v>15</v>
      </c>
      <c r="J17" s="6" t="s">
        <v>438</v>
      </c>
      <c r="K17" s="6" t="s">
        <v>439</v>
      </c>
      <c r="L17" s="6" t="s">
        <v>49</v>
      </c>
      <c r="M17" s="6" t="s">
        <v>49</v>
      </c>
    </row>
    <row r="18" ht="14.4" spans="1:13">
      <c r="A18" s="6" t="s">
        <v>464</v>
      </c>
      <c r="B18" s="6" t="s">
        <v>465</v>
      </c>
      <c r="C18" s="6" t="s">
        <v>21</v>
      </c>
      <c r="D18" s="6" t="s">
        <v>49</v>
      </c>
      <c r="E18" s="6" t="s">
        <v>49</v>
      </c>
      <c r="F18" s="6" t="s">
        <v>49</v>
      </c>
      <c r="G18" s="6" t="s">
        <v>437</v>
      </c>
      <c r="H18" s="10">
        <v>80</v>
      </c>
      <c r="I18" s="10">
        <v>15</v>
      </c>
      <c r="J18" s="6" t="s">
        <v>438</v>
      </c>
      <c r="K18" s="6" t="s">
        <v>439</v>
      </c>
      <c r="L18" s="6" t="s">
        <v>49</v>
      </c>
      <c r="M18" s="6" t="s">
        <v>49</v>
      </c>
    </row>
    <row r="19" ht="14.4" spans="1:13">
      <c r="A19" s="6" t="s">
        <v>466</v>
      </c>
      <c r="B19" s="6" t="s">
        <v>455</v>
      </c>
      <c r="C19" s="6" t="s">
        <v>20</v>
      </c>
      <c r="D19" s="6" t="s">
        <v>49</v>
      </c>
      <c r="E19" s="6" t="s">
        <v>49</v>
      </c>
      <c r="F19" s="6" t="s">
        <v>49</v>
      </c>
      <c r="G19" s="6" t="s">
        <v>441</v>
      </c>
      <c r="H19" s="10">
        <v>30</v>
      </c>
      <c r="I19" s="10">
        <v>20</v>
      </c>
      <c r="J19" s="6" t="s">
        <v>442</v>
      </c>
      <c r="K19" s="6" t="s">
        <v>439</v>
      </c>
      <c r="L19" s="6" t="s">
        <v>49</v>
      </c>
      <c r="M19" s="6" t="s">
        <v>49</v>
      </c>
    </row>
    <row r="20" ht="14.4" spans="1:13">
      <c r="A20" s="6" t="s">
        <v>467</v>
      </c>
      <c r="B20" s="6" t="s">
        <v>468</v>
      </c>
      <c r="C20" s="6" t="s">
        <v>21</v>
      </c>
      <c r="D20" s="6" t="s">
        <v>49</v>
      </c>
      <c r="E20" s="6" t="s">
        <v>49</v>
      </c>
      <c r="F20" s="6" t="s">
        <v>49</v>
      </c>
      <c r="G20" s="6" t="s">
        <v>437</v>
      </c>
      <c r="H20" s="10">
        <v>80</v>
      </c>
      <c r="I20" s="10">
        <v>15</v>
      </c>
      <c r="J20" s="6" t="s">
        <v>438</v>
      </c>
      <c r="K20" s="6" t="s">
        <v>439</v>
      </c>
      <c r="L20" s="6" t="s">
        <v>49</v>
      </c>
      <c r="M20" s="6" t="s">
        <v>49</v>
      </c>
    </row>
    <row r="21" ht="14.4" spans="1:13">
      <c r="A21" s="6" t="s">
        <v>469</v>
      </c>
      <c r="B21" s="6" t="s">
        <v>455</v>
      </c>
      <c r="C21" s="6" t="s">
        <v>20</v>
      </c>
      <c r="D21" s="6" t="s">
        <v>49</v>
      </c>
      <c r="E21" s="6" t="s">
        <v>49</v>
      </c>
      <c r="F21" s="6" t="s">
        <v>49</v>
      </c>
      <c r="G21" s="6" t="s">
        <v>441</v>
      </c>
      <c r="H21" s="10">
        <v>30</v>
      </c>
      <c r="I21" s="10">
        <v>20</v>
      </c>
      <c r="J21" s="6" t="s">
        <v>442</v>
      </c>
      <c r="K21" s="6" t="s">
        <v>439</v>
      </c>
      <c r="L21" s="6" t="s">
        <v>49</v>
      </c>
      <c r="M21" s="6" t="s">
        <v>49</v>
      </c>
    </row>
    <row r="22" ht="14.4" spans="1:13">
      <c r="A22" s="6" t="s">
        <v>470</v>
      </c>
      <c r="B22" s="6" t="s">
        <v>471</v>
      </c>
      <c r="C22" s="6" t="s">
        <v>20</v>
      </c>
      <c r="D22" s="6" t="s">
        <v>49</v>
      </c>
      <c r="E22" s="6" t="s">
        <v>49</v>
      </c>
      <c r="F22" s="6" t="s">
        <v>120</v>
      </c>
      <c r="G22" s="6" t="s">
        <v>441</v>
      </c>
      <c r="H22" s="10">
        <v>30</v>
      </c>
      <c r="I22" s="10">
        <v>20</v>
      </c>
      <c r="J22" s="6" t="s">
        <v>442</v>
      </c>
      <c r="K22" s="6" t="s">
        <v>439</v>
      </c>
      <c r="L22" s="6" t="s">
        <v>49</v>
      </c>
      <c r="M22" s="6" t="s">
        <v>49</v>
      </c>
    </row>
    <row r="23" ht="14.4" spans="1:13">
      <c r="A23" s="6" t="s">
        <v>472</v>
      </c>
      <c r="B23" s="6" t="s">
        <v>473</v>
      </c>
      <c r="C23" s="6" t="s">
        <v>20</v>
      </c>
      <c r="D23" s="6" t="s">
        <v>49</v>
      </c>
      <c r="E23" s="6" t="s">
        <v>49</v>
      </c>
      <c r="F23" s="6" t="s">
        <v>120</v>
      </c>
      <c r="G23" s="6" t="s">
        <v>441</v>
      </c>
      <c r="H23" s="10">
        <v>30</v>
      </c>
      <c r="I23" s="10">
        <v>20</v>
      </c>
      <c r="J23" s="6" t="s">
        <v>442</v>
      </c>
      <c r="K23" s="6" t="s">
        <v>439</v>
      </c>
      <c r="L23" s="6" t="s">
        <v>49</v>
      </c>
      <c r="M23" s="6" t="s">
        <v>49</v>
      </c>
    </row>
    <row r="24" ht="14.4" spans="1:13">
      <c r="A24" s="6" t="s">
        <v>474</v>
      </c>
      <c r="B24" s="6" t="s">
        <v>475</v>
      </c>
      <c r="C24" s="6" t="s">
        <v>20</v>
      </c>
      <c r="D24" s="6" t="s">
        <v>49</v>
      </c>
      <c r="E24" s="6" t="s">
        <v>49</v>
      </c>
      <c r="F24" s="6" t="s">
        <v>120</v>
      </c>
      <c r="G24" s="6" t="s">
        <v>441</v>
      </c>
      <c r="H24" s="10">
        <v>30</v>
      </c>
      <c r="I24" s="10">
        <v>20</v>
      </c>
      <c r="J24" s="6" t="s">
        <v>442</v>
      </c>
      <c r="K24" s="6" t="s">
        <v>439</v>
      </c>
      <c r="L24" s="6" t="s">
        <v>49</v>
      </c>
      <c r="M24" s="6" t="s">
        <v>49</v>
      </c>
    </row>
    <row r="25" ht="14.4" spans="1:13">
      <c r="A25" s="6" t="s">
        <v>476</v>
      </c>
      <c r="B25" s="6" t="s">
        <v>126</v>
      </c>
      <c r="C25" s="6" t="s">
        <v>22</v>
      </c>
      <c r="D25" s="6" t="s">
        <v>49</v>
      </c>
      <c r="E25" s="6" t="s">
        <v>49</v>
      </c>
      <c r="F25" s="6" t="s">
        <v>49</v>
      </c>
      <c r="G25" s="6" t="s">
        <v>458</v>
      </c>
      <c r="H25" s="10">
        <v>100</v>
      </c>
      <c r="I25" s="10">
        <v>10</v>
      </c>
      <c r="J25" s="6" t="s">
        <v>459</v>
      </c>
      <c r="K25" s="6" t="s">
        <v>439</v>
      </c>
      <c r="L25" s="6" t="s">
        <v>49</v>
      </c>
      <c r="M25" s="6" t="s">
        <v>49</v>
      </c>
    </row>
    <row r="26" ht="14.4" spans="1:13">
      <c r="A26" s="6" t="s">
        <v>477</v>
      </c>
      <c r="B26" s="6" t="s">
        <v>478</v>
      </c>
      <c r="C26" s="6" t="s">
        <v>21</v>
      </c>
      <c r="D26" s="6" t="s">
        <v>49</v>
      </c>
      <c r="E26" s="6" t="s">
        <v>49</v>
      </c>
      <c r="F26" s="6" t="s">
        <v>49</v>
      </c>
      <c r="G26" s="6" t="s">
        <v>437</v>
      </c>
      <c r="H26" s="10">
        <v>80</v>
      </c>
      <c r="I26" s="10">
        <v>15</v>
      </c>
      <c r="J26" s="6" t="s">
        <v>438</v>
      </c>
      <c r="K26" s="6" t="s">
        <v>439</v>
      </c>
      <c r="L26" s="6" t="s">
        <v>49</v>
      </c>
      <c r="M26" s="6" t="s">
        <v>49</v>
      </c>
    </row>
    <row r="27" ht="14.4" spans="1:13">
      <c r="A27" s="6" t="s">
        <v>479</v>
      </c>
      <c r="B27" s="6" t="s">
        <v>480</v>
      </c>
      <c r="C27" s="6" t="s">
        <v>21</v>
      </c>
      <c r="D27" s="6" t="s">
        <v>49</v>
      </c>
      <c r="E27" s="6" t="s">
        <v>49</v>
      </c>
      <c r="F27" s="6" t="s">
        <v>49</v>
      </c>
      <c r="G27" s="6" t="s">
        <v>437</v>
      </c>
      <c r="H27" s="10">
        <v>80</v>
      </c>
      <c r="I27" s="10">
        <v>15</v>
      </c>
      <c r="J27" s="6" t="s">
        <v>438</v>
      </c>
      <c r="K27" s="6" t="s">
        <v>439</v>
      </c>
      <c r="L27" s="6" t="s">
        <v>49</v>
      </c>
      <c r="M27" s="6" t="s">
        <v>49</v>
      </c>
    </row>
    <row r="28" ht="14.4" spans="1:13">
      <c r="A28" s="6" t="s">
        <v>481</v>
      </c>
      <c r="B28" s="6" t="s">
        <v>138</v>
      </c>
      <c r="C28" s="6" t="s">
        <v>22</v>
      </c>
      <c r="D28" s="6" t="s">
        <v>49</v>
      </c>
      <c r="E28" s="6" t="s">
        <v>49</v>
      </c>
      <c r="F28" s="6" t="s">
        <v>49</v>
      </c>
      <c r="G28" s="6" t="s">
        <v>458</v>
      </c>
      <c r="H28" s="10">
        <v>100</v>
      </c>
      <c r="I28" s="10">
        <v>10</v>
      </c>
      <c r="J28" s="6" t="s">
        <v>459</v>
      </c>
      <c r="K28" s="6" t="s">
        <v>439</v>
      </c>
      <c r="L28" s="6" t="s">
        <v>49</v>
      </c>
      <c r="M28" s="6" t="s">
        <v>49</v>
      </c>
    </row>
    <row r="29" ht="14.4" spans="1:13">
      <c r="A29" s="6" t="s">
        <v>482</v>
      </c>
      <c r="B29" s="6" t="s">
        <v>146</v>
      </c>
      <c r="C29" s="6" t="s">
        <v>21</v>
      </c>
      <c r="D29" s="6" t="s">
        <v>49</v>
      </c>
      <c r="E29" s="6" t="s">
        <v>49</v>
      </c>
      <c r="F29" s="6" t="s">
        <v>49</v>
      </c>
      <c r="G29" s="6" t="s">
        <v>437</v>
      </c>
      <c r="H29" s="10">
        <v>80</v>
      </c>
      <c r="I29" s="10">
        <v>15</v>
      </c>
      <c r="J29" s="6" t="s">
        <v>438</v>
      </c>
      <c r="K29" s="6" t="s">
        <v>439</v>
      </c>
      <c r="L29" s="6" t="s">
        <v>49</v>
      </c>
      <c r="M29" s="6" t="s">
        <v>49</v>
      </c>
    </row>
    <row r="30" ht="14.4" spans="1:13">
      <c r="A30" s="6" t="s">
        <v>483</v>
      </c>
      <c r="B30" s="6" t="s">
        <v>484</v>
      </c>
      <c r="C30" s="6" t="s">
        <v>21</v>
      </c>
      <c r="D30" s="6" t="s">
        <v>49</v>
      </c>
      <c r="E30" s="6" t="s">
        <v>49</v>
      </c>
      <c r="F30" s="6" t="s">
        <v>49</v>
      </c>
      <c r="G30" s="6" t="s">
        <v>437</v>
      </c>
      <c r="H30" s="10">
        <v>80</v>
      </c>
      <c r="I30" s="10">
        <v>15</v>
      </c>
      <c r="J30" s="6" t="s">
        <v>438</v>
      </c>
      <c r="K30" s="6" t="s">
        <v>439</v>
      </c>
      <c r="L30" s="6" t="s">
        <v>49</v>
      </c>
      <c r="M30" s="6" t="s">
        <v>49</v>
      </c>
    </row>
    <row r="31" ht="14.4" spans="1:13">
      <c r="A31" s="6" t="s">
        <v>485</v>
      </c>
      <c r="B31" s="6" t="s">
        <v>486</v>
      </c>
      <c r="C31" s="6" t="s">
        <v>21</v>
      </c>
      <c r="D31" s="6" t="s">
        <v>49</v>
      </c>
      <c r="E31" s="6" t="s">
        <v>49</v>
      </c>
      <c r="F31" s="6" t="s">
        <v>49</v>
      </c>
      <c r="G31" s="6" t="s">
        <v>437</v>
      </c>
      <c r="H31" s="10">
        <v>80</v>
      </c>
      <c r="I31" s="10">
        <v>15</v>
      </c>
      <c r="J31" s="6" t="s">
        <v>438</v>
      </c>
      <c r="K31" s="6" t="s">
        <v>439</v>
      </c>
      <c r="L31" s="6" t="s">
        <v>49</v>
      </c>
      <c r="M31" s="6" t="s">
        <v>49</v>
      </c>
    </row>
    <row r="32" ht="14.4" spans="1:13">
      <c r="A32" s="6" t="s">
        <v>487</v>
      </c>
      <c r="B32" s="6" t="s">
        <v>161</v>
      </c>
      <c r="C32" s="6" t="s">
        <v>20</v>
      </c>
      <c r="D32" s="6" t="s">
        <v>49</v>
      </c>
      <c r="E32" s="6" t="s">
        <v>49</v>
      </c>
      <c r="F32" s="6" t="s">
        <v>49</v>
      </c>
      <c r="G32" s="6" t="s">
        <v>441</v>
      </c>
      <c r="H32" s="10">
        <v>30</v>
      </c>
      <c r="I32" s="10">
        <v>20</v>
      </c>
      <c r="J32" s="6" t="s">
        <v>442</v>
      </c>
      <c r="K32" s="6" t="s">
        <v>439</v>
      </c>
      <c r="L32" s="6" t="s">
        <v>49</v>
      </c>
      <c r="M32" s="6" t="s">
        <v>49</v>
      </c>
    </row>
    <row r="33" ht="14.4" spans="1:13">
      <c r="A33" s="6" t="s">
        <v>488</v>
      </c>
      <c r="B33" s="6" t="s">
        <v>161</v>
      </c>
      <c r="C33" s="6" t="s">
        <v>20</v>
      </c>
      <c r="D33" s="6" t="s">
        <v>49</v>
      </c>
      <c r="E33" s="6" t="s">
        <v>49</v>
      </c>
      <c r="F33" s="6" t="s">
        <v>49</v>
      </c>
      <c r="G33" s="6" t="s">
        <v>441</v>
      </c>
      <c r="H33" s="10">
        <v>30</v>
      </c>
      <c r="I33" s="10">
        <v>20</v>
      </c>
      <c r="J33" s="6" t="s">
        <v>442</v>
      </c>
      <c r="K33" s="6" t="s">
        <v>439</v>
      </c>
      <c r="L33" s="6" t="s">
        <v>49</v>
      </c>
      <c r="M33" s="6" t="s">
        <v>49</v>
      </c>
    </row>
    <row r="34" ht="14.4" spans="1:13">
      <c r="A34" s="6" t="s">
        <v>489</v>
      </c>
      <c r="B34" s="6" t="s">
        <v>161</v>
      </c>
      <c r="C34" s="6" t="s">
        <v>20</v>
      </c>
      <c r="D34" s="6" t="s">
        <v>49</v>
      </c>
      <c r="E34" s="6" t="s">
        <v>49</v>
      </c>
      <c r="F34" s="6" t="s">
        <v>49</v>
      </c>
      <c r="G34" s="6" t="s">
        <v>441</v>
      </c>
      <c r="H34" s="10">
        <v>30</v>
      </c>
      <c r="I34" s="10">
        <v>20</v>
      </c>
      <c r="J34" s="6" t="s">
        <v>442</v>
      </c>
      <c r="K34" s="6" t="s">
        <v>439</v>
      </c>
      <c r="L34" s="6" t="s">
        <v>49</v>
      </c>
      <c r="M34" s="6" t="s">
        <v>49</v>
      </c>
    </row>
    <row r="35" ht="14.4" spans="1:13">
      <c r="A35" s="6" t="s">
        <v>490</v>
      </c>
      <c r="B35" s="6" t="s">
        <v>161</v>
      </c>
      <c r="C35" s="6" t="s">
        <v>20</v>
      </c>
      <c r="D35" s="6" t="s">
        <v>49</v>
      </c>
      <c r="E35" s="6" t="s">
        <v>49</v>
      </c>
      <c r="F35" s="6" t="s">
        <v>49</v>
      </c>
      <c r="G35" s="6" t="s">
        <v>441</v>
      </c>
      <c r="H35" s="10">
        <v>30</v>
      </c>
      <c r="I35" s="10">
        <v>20</v>
      </c>
      <c r="J35" s="6" t="s">
        <v>442</v>
      </c>
      <c r="K35" s="6" t="s">
        <v>439</v>
      </c>
      <c r="L35" s="6" t="s">
        <v>49</v>
      </c>
      <c r="M35" s="6" t="s">
        <v>49</v>
      </c>
    </row>
    <row r="36" ht="14.4" spans="1:13">
      <c r="A36" s="6" t="s">
        <v>491</v>
      </c>
      <c r="B36" s="6" t="s">
        <v>161</v>
      </c>
      <c r="C36" s="6" t="s">
        <v>20</v>
      </c>
      <c r="D36" s="6" t="s">
        <v>49</v>
      </c>
      <c r="E36" s="6" t="s">
        <v>49</v>
      </c>
      <c r="F36" s="6" t="s">
        <v>49</v>
      </c>
      <c r="G36" s="6" t="s">
        <v>441</v>
      </c>
      <c r="H36" s="10">
        <v>30</v>
      </c>
      <c r="I36" s="10">
        <v>20</v>
      </c>
      <c r="J36" s="6" t="s">
        <v>442</v>
      </c>
      <c r="K36" s="6" t="s">
        <v>439</v>
      </c>
      <c r="L36" s="6" t="s">
        <v>49</v>
      </c>
      <c r="M36" s="6" t="s">
        <v>49</v>
      </c>
    </row>
    <row r="37" ht="14.4" spans="1:13">
      <c r="A37" s="6" t="s">
        <v>492</v>
      </c>
      <c r="B37" s="6" t="s">
        <v>493</v>
      </c>
      <c r="C37" s="6" t="s">
        <v>21</v>
      </c>
      <c r="D37" s="6" t="s">
        <v>49</v>
      </c>
      <c r="E37" s="6" t="s">
        <v>49</v>
      </c>
      <c r="F37" s="6" t="s">
        <v>49</v>
      </c>
      <c r="G37" s="6" t="s">
        <v>437</v>
      </c>
      <c r="H37" s="10">
        <v>80</v>
      </c>
      <c r="I37" s="10">
        <v>15</v>
      </c>
      <c r="J37" s="6" t="s">
        <v>438</v>
      </c>
      <c r="K37" s="6" t="s">
        <v>439</v>
      </c>
      <c r="L37" s="6" t="s">
        <v>49</v>
      </c>
      <c r="M37" s="6" t="s">
        <v>49</v>
      </c>
    </row>
    <row r="38" ht="14.4" spans="1:13">
      <c r="A38" s="6" t="s">
        <v>494</v>
      </c>
      <c r="B38" s="6" t="s">
        <v>161</v>
      </c>
      <c r="C38" s="6" t="s">
        <v>20</v>
      </c>
      <c r="D38" s="6" t="s">
        <v>49</v>
      </c>
      <c r="E38" s="6" t="s">
        <v>49</v>
      </c>
      <c r="F38" s="6" t="s">
        <v>49</v>
      </c>
      <c r="G38" s="6" t="s">
        <v>441</v>
      </c>
      <c r="H38" s="10">
        <v>30</v>
      </c>
      <c r="I38" s="10">
        <v>20</v>
      </c>
      <c r="J38" s="6" t="s">
        <v>442</v>
      </c>
      <c r="K38" s="6" t="s">
        <v>439</v>
      </c>
      <c r="L38" s="6" t="s">
        <v>49</v>
      </c>
      <c r="M38" s="6" t="s">
        <v>49</v>
      </c>
    </row>
    <row r="39" ht="14.4" spans="1:13">
      <c r="A39" s="6" t="s">
        <v>495</v>
      </c>
      <c r="B39" s="6" t="s">
        <v>161</v>
      </c>
      <c r="C39" s="6" t="s">
        <v>20</v>
      </c>
      <c r="D39" s="6" t="s">
        <v>49</v>
      </c>
      <c r="E39" s="6" t="s">
        <v>49</v>
      </c>
      <c r="F39" s="6" t="s">
        <v>49</v>
      </c>
      <c r="G39" s="6" t="s">
        <v>441</v>
      </c>
      <c r="H39" s="10">
        <v>30</v>
      </c>
      <c r="I39" s="10">
        <v>20</v>
      </c>
      <c r="J39" s="6" t="s">
        <v>442</v>
      </c>
      <c r="K39" s="6" t="s">
        <v>439</v>
      </c>
      <c r="L39" s="6" t="s">
        <v>49</v>
      </c>
      <c r="M39" s="6" t="s">
        <v>49</v>
      </c>
    </row>
    <row r="40" ht="14.4" spans="1:13">
      <c r="A40" s="6" t="s">
        <v>496</v>
      </c>
      <c r="B40" s="6" t="s">
        <v>493</v>
      </c>
      <c r="C40" s="6" t="s">
        <v>20</v>
      </c>
      <c r="D40" s="6" t="s">
        <v>49</v>
      </c>
      <c r="E40" s="6" t="s">
        <v>49</v>
      </c>
      <c r="F40" s="6" t="s">
        <v>49</v>
      </c>
      <c r="G40" s="6" t="s">
        <v>441</v>
      </c>
      <c r="H40" s="10">
        <v>30</v>
      </c>
      <c r="I40" s="10">
        <v>20</v>
      </c>
      <c r="J40" s="6" t="s">
        <v>442</v>
      </c>
      <c r="K40" s="6" t="s">
        <v>439</v>
      </c>
      <c r="L40" s="6" t="s">
        <v>49</v>
      </c>
      <c r="M40" s="6" t="s">
        <v>49</v>
      </c>
    </row>
    <row r="41" ht="14.4" spans="1:13">
      <c r="A41" s="6" t="s">
        <v>497</v>
      </c>
      <c r="B41" s="6" t="s">
        <v>161</v>
      </c>
      <c r="C41" s="6" t="s">
        <v>20</v>
      </c>
      <c r="D41" s="6" t="s">
        <v>49</v>
      </c>
      <c r="E41" s="6" t="s">
        <v>49</v>
      </c>
      <c r="F41" s="6" t="s">
        <v>49</v>
      </c>
      <c r="G41" s="6" t="s">
        <v>441</v>
      </c>
      <c r="H41" s="10">
        <v>30</v>
      </c>
      <c r="I41" s="10">
        <v>20</v>
      </c>
      <c r="J41" s="6" t="s">
        <v>442</v>
      </c>
      <c r="K41" s="6" t="s">
        <v>439</v>
      </c>
      <c r="L41" s="6" t="s">
        <v>49</v>
      </c>
      <c r="M41" s="6" t="s">
        <v>49</v>
      </c>
    </row>
    <row r="42" ht="14.4" spans="1:13">
      <c r="A42" s="6" t="s">
        <v>498</v>
      </c>
      <c r="B42" s="6" t="s">
        <v>64</v>
      </c>
      <c r="C42" s="6" t="s">
        <v>21</v>
      </c>
      <c r="D42" s="6" t="s">
        <v>49</v>
      </c>
      <c r="E42" s="6" t="s">
        <v>49</v>
      </c>
      <c r="F42" s="6" t="s">
        <v>187</v>
      </c>
      <c r="G42" s="6" t="s">
        <v>437</v>
      </c>
      <c r="H42" s="10">
        <v>80</v>
      </c>
      <c r="I42" s="10">
        <v>15</v>
      </c>
      <c r="J42" s="6" t="s">
        <v>438</v>
      </c>
      <c r="K42" s="6" t="s">
        <v>439</v>
      </c>
      <c r="L42" s="6" t="s">
        <v>49</v>
      </c>
      <c r="M42" s="6" t="s">
        <v>49</v>
      </c>
    </row>
    <row r="43" ht="14.4" spans="1:13">
      <c r="A43" s="6" t="s">
        <v>499</v>
      </c>
      <c r="B43" s="6" t="s">
        <v>500</v>
      </c>
      <c r="C43" s="6" t="s">
        <v>20</v>
      </c>
      <c r="D43" s="6" t="s">
        <v>49</v>
      </c>
      <c r="E43" s="6" t="s">
        <v>49</v>
      </c>
      <c r="F43" s="6" t="s">
        <v>187</v>
      </c>
      <c r="G43" s="6" t="s">
        <v>441</v>
      </c>
      <c r="H43" s="10">
        <v>30</v>
      </c>
      <c r="I43" s="10">
        <v>20</v>
      </c>
      <c r="J43" s="6" t="s">
        <v>442</v>
      </c>
      <c r="K43" s="6" t="s">
        <v>439</v>
      </c>
      <c r="L43" s="6" t="s">
        <v>49</v>
      </c>
      <c r="M43" s="6" t="s">
        <v>49</v>
      </c>
    </row>
    <row r="44" ht="14.4" spans="1:13">
      <c r="A44" s="6" t="s">
        <v>501</v>
      </c>
      <c r="B44" s="6" t="s">
        <v>502</v>
      </c>
      <c r="C44" s="6" t="s">
        <v>21</v>
      </c>
      <c r="D44" s="6" t="s">
        <v>49</v>
      </c>
      <c r="E44" s="6" t="s">
        <v>49</v>
      </c>
      <c r="F44" s="6" t="s">
        <v>49</v>
      </c>
      <c r="G44" s="6" t="s">
        <v>437</v>
      </c>
      <c r="H44" s="10">
        <v>80</v>
      </c>
      <c r="I44" s="10">
        <v>15</v>
      </c>
      <c r="J44" s="6" t="s">
        <v>438</v>
      </c>
      <c r="K44" s="6" t="s">
        <v>439</v>
      </c>
      <c r="L44" s="6" t="s">
        <v>49</v>
      </c>
      <c r="M44" s="6" t="s">
        <v>49</v>
      </c>
    </row>
    <row r="45" ht="14.4" spans="1:13">
      <c r="A45" s="6" t="s">
        <v>503</v>
      </c>
      <c r="B45" s="6" t="s">
        <v>504</v>
      </c>
      <c r="C45" s="6" t="s">
        <v>21</v>
      </c>
      <c r="D45" s="6" t="s">
        <v>49</v>
      </c>
      <c r="E45" s="6" t="s">
        <v>49</v>
      </c>
      <c r="F45" s="6" t="s">
        <v>49</v>
      </c>
      <c r="G45" s="6" t="s">
        <v>437</v>
      </c>
      <c r="H45" s="10">
        <v>80</v>
      </c>
      <c r="I45" s="10">
        <v>15</v>
      </c>
      <c r="J45" s="6" t="s">
        <v>438</v>
      </c>
      <c r="K45" s="6" t="s">
        <v>439</v>
      </c>
      <c r="L45" s="6" t="s">
        <v>49</v>
      </c>
      <c r="M45" s="6" t="s">
        <v>49</v>
      </c>
    </row>
    <row r="46" ht="14.4" spans="1:13">
      <c r="A46" s="6" t="s">
        <v>505</v>
      </c>
      <c r="B46" s="6" t="s">
        <v>502</v>
      </c>
      <c r="C46" s="6" t="s">
        <v>21</v>
      </c>
      <c r="D46" s="6" t="s">
        <v>49</v>
      </c>
      <c r="E46" s="6" t="s">
        <v>49</v>
      </c>
      <c r="F46" s="6" t="s">
        <v>49</v>
      </c>
      <c r="G46" s="6" t="s">
        <v>437</v>
      </c>
      <c r="H46" s="10">
        <v>80</v>
      </c>
      <c r="I46" s="10">
        <v>15</v>
      </c>
      <c r="J46" s="6" t="s">
        <v>438</v>
      </c>
      <c r="K46" s="6" t="s">
        <v>439</v>
      </c>
      <c r="L46" s="6" t="s">
        <v>49</v>
      </c>
      <c r="M46" s="6" t="s">
        <v>49</v>
      </c>
    </row>
    <row r="47" ht="14.4" spans="1:13">
      <c r="A47" s="6" t="s">
        <v>506</v>
      </c>
      <c r="B47" s="6" t="s">
        <v>507</v>
      </c>
      <c r="C47" s="6" t="s">
        <v>21</v>
      </c>
      <c r="D47" s="6" t="s">
        <v>49</v>
      </c>
      <c r="E47" s="6" t="s">
        <v>49</v>
      </c>
      <c r="F47" s="6" t="s">
        <v>49</v>
      </c>
      <c r="G47" s="6" t="s">
        <v>437</v>
      </c>
      <c r="H47" s="10">
        <v>80</v>
      </c>
      <c r="I47" s="10">
        <v>15</v>
      </c>
      <c r="J47" s="6" t="s">
        <v>438</v>
      </c>
      <c r="K47" s="6" t="s">
        <v>439</v>
      </c>
      <c r="L47" s="6" t="s">
        <v>49</v>
      </c>
      <c r="M47" s="6" t="s">
        <v>49</v>
      </c>
    </row>
    <row r="48" ht="14.4" spans="1:13">
      <c r="A48" s="6" t="s">
        <v>508</v>
      </c>
      <c r="B48" s="6" t="s">
        <v>509</v>
      </c>
      <c r="C48" s="6" t="s">
        <v>20</v>
      </c>
      <c r="D48" s="6" t="s">
        <v>49</v>
      </c>
      <c r="E48" s="6" t="s">
        <v>49</v>
      </c>
      <c r="F48" s="6" t="s">
        <v>49</v>
      </c>
      <c r="G48" s="6" t="s">
        <v>441</v>
      </c>
      <c r="H48" s="10">
        <v>30</v>
      </c>
      <c r="I48" s="10">
        <v>20</v>
      </c>
      <c r="J48" s="6" t="s">
        <v>442</v>
      </c>
      <c r="K48" s="6" t="s">
        <v>439</v>
      </c>
      <c r="L48" s="6" t="s">
        <v>49</v>
      </c>
      <c r="M48" s="6" t="s">
        <v>49</v>
      </c>
    </row>
    <row r="49" ht="14.4" spans="1:13">
      <c r="A49" s="6" t="s">
        <v>510</v>
      </c>
      <c r="B49" s="6" t="s">
        <v>511</v>
      </c>
      <c r="C49" s="6" t="s">
        <v>21</v>
      </c>
      <c r="D49" s="6" t="s">
        <v>49</v>
      </c>
      <c r="E49" s="6" t="s">
        <v>49</v>
      </c>
      <c r="F49" s="6" t="s">
        <v>49</v>
      </c>
      <c r="G49" s="6" t="s">
        <v>437</v>
      </c>
      <c r="H49" s="10">
        <v>80</v>
      </c>
      <c r="I49" s="10">
        <v>15</v>
      </c>
      <c r="J49" s="6" t="s">
        <v>438</v>
      </c>
      <c r="K49" s="6" t="s">
        <v>439</v>
      </c>
      <c r="L49" s="6" t="s">
        <v>49</v>
      </c>
      <c r="M49" s="6" t="s">
        <v>49</v>
      </c>
    </row>
    <row r="50" ht="14.4" spans="1:13">
      <c r="A50" s="6" t="s">
        <v>512</v>
      </c>
      <c r="B50" s="6" t="s">
        <v>513</v>
      </c>
      <c r="C50" s="6" t="s">
        <v>21</v>
      </c>
      <c r="D50" s="6" t="s">
        <v>49</v>
      </c>
      <c r="E50" s="6" t="s">
        <v>49</v>
      </c>
      <c r="F50" s="6" t="s">
        <v>49</v>
      </c>
      <c r="G50" s="6" t="s">
        <v>437</v>
      </c>
      <c r="H50" s="10">
        <v>80</v>
      </c>
      <c r="I50" s="10">
        <v>15</v>
      </c>
      <c r="J50" s="6" t="s">
        <v>438</v>
      </c>
      <c r="K50" s="6" t="s">
        <v>439</v>
      </c>
      <c r="L50" s="6" t="s">
        <v>49</v>
      </c>
      <c r="M50" s="6" t="s">
        <v>49</v>
      </c>
    </row>
    <row r="51" ht="14.4" spans="1:13">
      <c r="A51" s="6" t="s">
        <v>514</v>
      </c>
      <c r="B51" s="6" t="s">
        <v>515</v>
      </c>
      <c r="C51" s="6" t="s">
        <v>20</v>
      </c>
      <c r="D51" s="6" t="s">
        <v>49</v>
      </c>
      <c r="E51" s="6" t="s">
        <v>49</v>
      </c>
      <c r="F51" s="6" t="s">
        <v>49</v>
      </c>
      <c r="G51" s="6" t="s">
        <v>441</v>
      </c>
      <c r="H51" s="10">
        <v>30</v>
      </c>
      <c r="I51" s="10">
        <v>20</v>
      </c>
      <c r="J51" s="6" t="s">
        <v>442</v>
      </c>
      <c r="K51" s="6" t="s">
        <v>439</v>
      </c>
      <c r="L51" s="6" t="s">
        <v>49</v>
      </c>
      <c r="M51" s="6" t="s">
        <v>49</v>
      </c>
    </row>
    <row r="52" ht="14.4" spans="1:13">
      <c r="A52" s="6" t="s">
        <v>516</v>
      </c>
      <c r="B52" s="6" t="s">
        <v>513</v>
      </c>
      <c r="C52" s="6" t="s">
        <v>21</v>
      </c>
      <c r="D52" s="6" t="s">
        <v>49</v>
      </c>
      <c r="E52" s="6" t="s">
        <v>49</v>
      </c>
      <c r="F52" s="6" t="s">
        <v>49</v>
      </c>
      <c r="G52" s="6" t="s">
        <v>437</v>
      </c>
      <c r="H52" s="10">
        <v>80</v>
      </c>
      <c r="I52" s="10">
        <v>15</v>
      </c>
      <c r="J52" s="6" t="s">
        <v>438</v>
      </c>
      <c r="K52" s="6" t="s">
        <v>439</v>
      </c>
      <c r="L52" s="6" t="s">
        <v>49</v>
      </c>
      <c r="M52" s="6" t="s">
        <v>49</v>
      </c>
    </row>
    <row r="53" ht="14.4" spans="1:13">
      <c r="A53" s="6" t="s">
        <v>517</v>
      </c>
      <c r="B53" s="6" t="s">
        <v>515</v>
      </c>
      <c r="C53" s="6" t="s">
        <v>20</v>
      </c>
      <c r="D53" s="6" t="s">
        <v>49</v>
      </c>
      <c r="E53" s="6" t="s">
        <v>49</v>
      </c>
      <c r="F53" s="6" t="s">
        <v>49</v>
      </c>
      <c r="G53" s="6" t="s">
        <v>441</v>
      </c>
      <c r="H53" s="10">
        <v>30</v>
      </c>
      <c r="I53" s="10">
        <v>20</v>
      </c>
      <c r="J53" s="6" t="s">
        <v>442</v>
      </c>
      <c r="K53" s="6" t="s">
        <v>439</v>
      </c>
      <c r="L53" s="6" t="s">
        <v>49</v>
      </c>
      <c r="M53" s="6" t="s">
        <v>49</v>
      </c>
    </row>
    <row r="54" ht="14.4" spans="1:13">
      <c r="A54" s="6" t="s">
        <v>518</v>
      </c>
      <c r="B54" s="6" t="s">
        <v>513</v>
      </c>
      <c r="C54" s="6" t="s">
        <v>21</v>
      </c>
      <c r="D54" s="6" t="s">
        <v>49</v>
      </c>
      <c r="E54" s="6" t="s">
        <v>49</v>
      </c>
      <c r="F54" s="6" t="s">
        <v>49</v>
      </c>
      <c r="G54" s="6" t="s">
        <v>437</v>
      </c>
      <c r="H54" s="10">
        <v>80</v>
      </c>
      <c r="I54" s="10">
        <v>15</v>
      </c>
      <c r="J54" s="6" t="s">
        <v>438</v>
      </c>
      <c r="K54" s="6" t="s">
        <v>439</v>
      </c>
      <c r="L54" s="6" t="s">
        <v>49</v>
      </c>
      <c r="M54" s="6" t="s">
        <v>49</v>
      </c>
    </row>
    <row r="55" ht="14.4" spans="1:13">
      <c r="A55" s="6" t="s">
        <v>519</v>
      </c>
      <c r="B55" s="6" t="s">
        <v>515</v>
      </c>
      <c r="C55" s="6" t="s">
        <v>20</v>
      </c>
      <c r="D55" s="6" t="s">
        <v>49</v>
      </c>
      <c r="E55" s="6" t="s">
        <v>49</v>
      </c>
      <c r="F55" s="6" t="s">
        <v>49</v>
      </c>
      <c r="G55" s="6" t="s">
        <v>441</v>
      </c>
      <c r="H55" s="10">
        <v>30</v>
      </c>
      <c r="I55" s="10">
        <v>20</v>
      </c>
      <c r="J55" s="6" t="s">
        <v>442</v>
      </c>
      <c r="K55" s="6" t="s">
        <v>439</v>
      </c>
      <c r="L55" s="6" t="s">
        <v>49</v>
      </c>
      <c r="M55" s="6" t="s">
        <v>49</v>
      </c>
    </row>
    <row r="56" ht="14.4" spans="1:13">
      <c r="A56" s="6" t="s">
        <v>520</v>
      </c>
      <c r="B56" s="6" t="s">
        <v>521</v>
      </c>
      <c r="C56" s="6" t="s">
        <v>21</v>
      </c>
      <c r="D56" s="6" t="s">
        <v>49</v>
      </c>
      <c r="E56" s="6" t="s">
        <v>49</v>
      </c>
      <c r="F56" s="6" t="s">
        <v>49</v>
      </c>
      <c r="G56" s="6" t="s">
        <v>437</v>
      </c>
      <c r="H56" s="10">
        <v>80</v>
      </c>
      <c r="I56" s="10">
        <v>15</v>
      </c>
      <c r="J56" s="6" t="s">
        <v>438</v>
      </c>
      <c r="K56" s="6" t="s">
        <v>439</v>
      </c>
      <c r="L56" s="6" t="s">
        <v>49</v>
      </c>
      <c r="M56" s="6" t="s">
        <v>49</v>
      </c>
    </row>
    <row r="57" ht="14.4" spans="1:13">
      <c r="A57" s="6" t="s">
        <v>522</v>
      </c>
      <c r="B57" s="6" t="s">
        <v>523</v>
      </c>
      <c r="C57" s="6" t="s">
        <v>21</v>
      </c>
      <c r="D57" s="6" t="s">
        <v>49</v>
      </c>
      <c r="E57" s="6" t="s">
        <v>49</v>
      </c>
      <c r="F57" s="6" t="s">
        <v>49</v>
      </c>
      <c r="G57" s="6" t="s">
        <v>437</v>
      </c>
      <c r="H57" s="10">
        <v>80</v>
      </c>
      <c r="I57" s="10">
        <v>15</v>
      </c>
      <c r="J57" s="6" t="s">
        <v>438</v>
      </c>
      <c r="K57" s="6" t="s">
        <v>439</v>
      </c>
      <c r="L57" s="6" t="s">
        <v>49</v>
      </c>
      <c r="M57" s="6" t="s">
        <v>49</v>
      </c>
    </row>
    <row r="58" ht="14.4" spans="1:13">
      <c r="A58" s="6" t="s">
        <v>524</v>
      </c>
      <c r="B58" s="6" t="s">
        <v>525</v>
      </c>
      <c r="C58" s="6" t="s">
        <v>21</v>
      </c>
      <c r="D58" s="6" t="s">
        <v>49</v>
      </c>
      <c r="E58" s="6" t="s">
        <v>49</v>
      </c>
      <c r="F58" s="6" t="s">
        <v>49</v>
      </c>
      <c r="G58" s="6" t="s">
        <v>437</v>
      </c>
      <c r="H58" s="10">
        <v>80</v>
      </c>
      <c r="I58" s="10">
        <v>15</v>
      </c>
      <c r="J58" s="6" t="s">
        <v>438</v>
      </c>
      <c r="K58" s="6" t="s">
        <v>439</v>
      </c>
      <c r="L58" s="6" t="s">
        <v>49</v>
      </c>
      <c r="M58" s="6" t="s">
        <v>49</v>
      </c>
    </row>
    <row r="59" ht="14.4" spans="1:13">
      <c r="A59" s="6" t="s">
        <v>526</v>
      </c>
      <c r="B59" s="6" t="s">
        <v>527</v>
      </c>
      <c r="C59" s="6" t="s">
        <v>21</v>
      </c>
      <c r="D59" s="6" t="s">
        <v>49</v>
      </c>
      <c r="E59" s="6" t="s">
        <v>49</v>
      </c>
      <c r="F59" s="6" t="s">
        <v>49</v>
      </c>
      <c r="G59" s="6" t="s">
        <v>437</v>
      </c>
      <c r="H59" s="10">
        <v>80</v>
      </c>
      <c r="I59" s="10">
        <v>15</v>
      </c>
      <c r="J59" s="6" t="s">
        <v>438</v>
      </c>
      <c r="K59" s="6" t="s">
        <v>439</v>
      </c>
      <c r="L59" s="6" t="s">
        <v>49</v>
      </c>
      <c r="M59" s="6" t="s">
        <v>49</v>
      </c>
    </row>
    <row r="60" ht="14.4" spans="1:13">
      <c r="A60" s="6" t="s">
        <v>528</v>
      </c>
      <c r="B60" s="6" t="s">
        <v>529</v>
      </c>
      <c r="C60" s="6" t="s">
        <v>21</v>
      </c>
      <c r="D60" s="6" t="s">
        <v>49</v>
      </c>
      <c r="E60" s="6" t="s">
        <v>49</v>
      </c>
      <c r="F60" s="6" t="s">
        <v>49</v>
      </c>
      <c r="G60" s="6" t="s">
        <v>437</v>
      </c>
      <c r="H60" s="10">
        <v>80</v>
      </c>
      <c r="I60" s="10">
        <v>15</v>
      </c>
      <c r="J60" s="6" t="s">
        <v>438</v>
      </c>
      <c r="K60" s="6" t="s">
        <v>439</v>
      </c>
      <c r="L60" s="6" t="s">
        <v>49</v>
      </c>
      <c r="M60" s="6" t="s">
        <v>49</v>
      </c>
    </row>
    <row r="61" ht="14.4" spans="1:13">
      <c r="A61" s="6" t="s">
        <v>530</v>
      </c>
      <c r="B61" s="6" t="s">
        <v>531</v>
      </c>
      <c r="C61" s="6" t="s">
        <v>21</v>
      </c>
      <c r="D61" s="6" t="s">
        <v>49</v>
      </c>
      <c r="E61" s="6" t="s">
        <v>49</v>
      </c>
      <c r="F61" s="6" t="s">
        <v>49</v>
      </c>
      <c r="G61" s="6" t="s">
        <v>437</v>
      </c>
      <c r="H61" s="10">
        <v>80</v>
      </c>
      <c r="I61" s="10">
        <v>15</v>
      </c>
      <c r="J61" s="6" t="s">
        <v>438</v>
      </c>
      <c r="K61" s="6" t="s">
        <v>439</v>
      </c>
      <c r="L61" s="6" t="s">
        <v>49</v>
      </c>
      <c r="M61" s="6" t="s">
        <v>49</v>
      </c>
    </row>
    <row r="62" ht="14.4" spans="1:13">
      <c r="A62" s="6" t="s">
        <v>532</v>
      </c>
      <c r="B62" s="6" t="s">
        <v>533</v>
      </c>
      <c r="C62" s="6" t="s">
        <v>20</v>
      </c>
      <c r="D62" s="6" t="s">
        <v>49</v>
      </c>
      <c r="E62" s="6" t="s">
        <v>49</v>
      </c>
      <c r="F62" s="6" t="s">
        <v>49</v>
      </c>
      <c r="G62" s="6" t="s">
        <v>441</v>
      </c>
      <c r="H62" s="10">
        <v>30</v>
      </c>
      <c r="I62" s="10">
        <v>20</v>
      </c>
      <c r="J62" s="6" t="s">
        <v>442</v>
      </c>
      <c r="K62" s="6" t="s">
        <v>439</v>
      </c>
      <c r="L62" s="6" t="s">
        <v>49</v>
      </c>
      <c r="M62" s="6" t="s">
        <v>49</v>
      </c>
    </row>
    <row r="63" ht="14.4" spans="1:13">
      <c r="A63" s="6" t="s">
        <v>534</v>
      </c>
      <c r="B63" s="6" t="s">
        <v>535</v>
      </c>
      <c r="C63" s="6" t="s">
        <v>21</v>
      </c>
      <c r="D63" s="6" t="s">
        <v>49</v>
      </c>
      <c r="E63" s="6" t="s">
        <v>49</v>
      </c>
      <c r="F63" s="6" t="s">
        <v>49</v>
      </c>
      <c r="G63" s="6" t="s">
        <v>437</v>
      </c>
      <c r="H63" s="10">
        <v>80</v>
      </c>
      <c r="I63" s="10">
        <v>15</v>
      </c>
      <c r="J63" s="6" t="s">
        <v>438</v>
      </c>
      <c r="K63" s="6" t="s">
        <v>439</v>
      </c>
      <c r="L63" s="6" t="s">
        <v>49</v>
      </c>
      <c r="M63" s="6" t="s">
        <v>49</v>
      </c>
    </row>
    <row r="64" ht="14.4" spans="1:13">
      <c r="A64" s="6" t="s">
        <v>536</v>
      </c>
      <c r="B64" s="6" t="s">
        <v>537</v>
      </c>
      <c r="C64" s="6" t="s">
        <v>21</v>
      </c>
      <c r="D64" s="6" t="s">
        <v>49</v>
      </c>
      <c r="E64" s="6" t="s">
        <v>49</v>
      </c>
      <c r="F64" s="6" t="s">
        <v>49</v>
      </c>
      <c r="G64" s="6" t="s">
        <v>437</v>
      </c>
      <c r="H64" s="10">
        <v>80</v>
      </c>
      <c r="I64" s="10">
        <v>15</v>
      </c>
      <c r="J64" s="6" t="s">
        <v>438</v>
      </c>
      <c r="K64" s="6" t="s">
        <v>439</v>
      </c>
      <c r="L64" s="6" t="s">
        <v>49</v>
      </c>
      <c r="M64" s="6" t="s">
        <v>49</v>
      </c>
    </row>
    <row r="65" ht="14.4" spans="1:13">
      <c r="A65" s="6" t="s">
        <v>538</v>
      </c>
      <c r="B65" s="6" t="s">
        <v>529</v>
      </c>
      <c r="C65" s="6" t="s">
        <v>21</v>
      </c>
      <c r="D65" s="6" t="s">
        <v>49</v>
      </c>
      <c r="E65" s="6" t="s">
        <v>49</v>
      </c>
      <c r="F65" s="6" t="s">
        <v>49</v>
      </c>
      <c r="G65" s="6" t="s">
        <v>437</v>
      </c>
      <c r="H65" s="10">
        <v>80</v>
      </c>
      <c r="I65" s="10">
        <v>15</v>
      </c>
      <c r="J65" s="6" t="s">
        <v>438</v>
      </c>
      <c r="K65" s="6" t="s">
        <v>439</v>
      </c>
      <c r="L65" s="6" t="s">
        <v>49</v>
      </c>
      <c r="M65" s="6" t="s">
        <v>49</v>
      </c>
    </row>
    <row r="66" ht="14.4" spans="1:13">
      <c r="A66" s="6" t="s">
        <v>539</v>
      </c>
      <c r="B66" s="6" t="s">
        <v>531</v>
      </c>
      <c r="C66" s="6" t="s">
        <v>21</v>
      </c>
      <c r="D66" s="6" t="s">
        <v>49</v>
      </c>
      <c r="E66" s="6" t="s">
        <v>49</v>
      </c>
      <c r="F66" s="6" t="s">
        <v>49</v>
      </c>
      <c r="G66" s="6" t="s">
        <v>437</v>
      </c>
      <c r="H66" s="10">
        <v>80</v>
      </c>
      <c r="I66" s="10">
        <v>15</v>
      </c>
      <c r="J66" s="6" t="s">
        <v>438</v>
      </c>
      <c r="K66" s="6" t="s">
        <v>439</v>
      </c>
      <c r="L66" s="6" t="s">
        <v>49</v>
      </c>
      <c r="M66" s="6" t="s">
        <v>49</v>
      </c>
    </row>
    <row r="67" ht="14.4" spans="1:13">
      <c r="A67" s="6" t="s">
        <v>540</v>
      </c>
      <c r="B67" s="6" t="s">
        <v>541</v>
      </c>
      <c r="C67" s="6" t="s">
        <v>21</v>
      </c>
      <c r="D67" s="6" t="s">
        <v>49</v>
      </c>
      <c r="E67" s="6" t="s">
        <v>49</v>
      </c>
      <c r="F67" s="6" t="s">
        <v>49</v>
      </c>
      <c r="G67" s="6" t="s">
        <v>437</v>
      </c>
      <c r="H67" s="10">
        <v>80</v>
      </c>
      <c r="I67" s="10">
        <v>15</v>
      </c>
      <c r="J67" s="6" t="s">
        <v>438</v>
      </c>
      <c r="K67" s="6" t="s">
        <v>439</v>
      </c>
      <c r="L67" s="6" t="s">
        <v>49</v>
      </c>
      <c r="M67" s="6" t="s">
        <v>49</v>
      </c>
    </row>
    <row r="68" ht="14.4" spans="1:13">
      <c r="A68" s="6" t="s">
        <v>542</v>
      </c>
      <c r="B68" s="6" t="s">
        <v>543</v>
      </c>
      <c r="C68" s="6" t="s">
        <v>20</v>
      </c>
      <c r="D68" s="6" t="s">
        <v>49</v>
      </c>
      <c r="E68" s="6" t="s">
        <v>49</v>
      </c>
      <c r="F68" s="6" t="s">
        <v>49</v>
      </c>
      <c r="G68" s="6" t="s">
        <v>441</v>
      </c>
      <c r="H68" s="10">
        <v>30</v>
      </c>
      <c r="I68" s="10">
        <v>20</v>
      </c>
      <c r="J68" s="6" t="s">
        <v>442</v>
      </c>
      <c r="K68" s="6" t="s">
        <v>439</v>
      </c>
      <c r="L68" s="6" t="s">
        <v>49</v>
      </c>
      <c r="M68" s="6" t="s">
        <v>49</v>
      </c>
    </row>
    <row r="69" ht="14.4" spans="1:13">
      <c r="A69" s="6" t="s">
        <v>544</v>
      </c>
      <c r="B69" s="6" t="s">
        <v>545</v>
      </c>
      <c r="C69" s="6" t="s">
        <v>20</v>
      </c>
      <c r="D69" s="6" t="s">
        <v>49</v>
      </c>
      <c r="E69" s="6" t="s">
        <v>49</v>
      </c>
      <c r="F69" s="6" t="s">
        <v>49</v>
      </c>
      <c r="G69" s="6" t="s">
        <v>441</v>
      </c>
      <c r="H69" s="10">
        <v>30</v>
      </c>
      <c r="I69" s="10">
        <v>20</v>
      </c>
      <c r="J69" s="6" t="s">
        <v>442</v>
      </c>
      <c r="K69" s="6" t="s">
        <v>439</v>
      </c>
      <c r="L69" s="6" t="s">
        <v>49</v>
      </c>
      <c r="M69" s="6" t="s">
        <v>49</v>
      </c>
    </row>
    <row r="70" ht="14.4" spans="1:13">
      <c r="A70" s="6" t="s">
        <v>546</v>
      </c>
      <c r="B70" s="6" t="s">
        <v>547</v>
      </c>
      <c r="C70" s="6" t="s">
        <v>21</v>
      </c>
      <c r="D70" s="6" t="s">
        <v>49</v>
      </c>
      <c r="E70" s="6" t="s">
        <v>49</v>
      </c>
      <c r="F70" s="6" t="s">
        <v>49</v>
      </c>
      <c r="G70" s="6" t="s">
        <v>437</v>
      </c>
      <c r="H70" s="10">
        <v>80</v>
      </c>
      <c r="I70" s="10">
        <v>15</v>
      </c>
      <c r="J70" s="6" t="s">
        <v>438</v>
      </c>
      <c r="K70" s="6" t="s">
        <v>439</v>
      </c>
      <c r="L70" s="6" t="s">
        <v>49</v>
      </c>
      <c r="M70" s="6" t="s">
        <v>49</v>
      </c>
    </row>
    <row r="71" ht="14.4" spans="1:13">
      <c r="A71" s="6" t="s">
        <v>548</v>
      </c>
      <c r="B71" s="6" t="s">
        <v>549</v>
      </c>
      <c r="C71" s="6" t="s">
        <v>21</v>
      </c>
      <c r="D71" s="6" t="s">
        <v>49</v>
      </c>
      <c r="E71" s="6" t="s">
        <v>49</v>
      </c>
      <c r="F71" s="6" t="s">
        <v>49</v>
      </c>
      <c r="G71" s="6" t="s">
        <v>437</v>
      </c>
      <c r="H71" s="10">
        <v>80</v>
      </c>
      <c r="I71" s="10">
        <v>15</v>
      </c>
      <c r="J71" s="6" t="s">
        <v>438</v>
      </c>
      <c r="K71" s="6" t="s">
        <v>439</v>
      </c>
      <c r="L71" s="6" t="s">
        <v>49</v>
      </c>
      <c r="M71" s="6" t="s">
        <v>49</v>
      </c>
    </row>
    <row r="72" ht="14.4" spans="1:13">
      <c r="A72" s="6" t="s">
        <v>550</v>
      </c>
      <c r="B72" s="6" t="s">
        <v>541</v>
      </c>
      <c r="C72" s="6" t="s">
        <v>21</v>
      </c>
      <c r="D72" s="6" t="s">
        <v>49</v>
      </c>
      <c r="E72" s="6" t="s">
        <v>49</v>
      </c>
      <c r="F72" s="6" t="s">
        <v>49</v>
      </c>
      <c r="G72" s="6" t="s">
        <v>437</v>
      </c>
      <c r="H72" s="10">
        <v>80</v>
      </c>
      <c r="I72" s="10">
        <v>15</v>
      </c>
      <c r="J72" s="6" t="s">
        <v>438</v>
      </c>
      <c r="K72" s="6" t="s">
        <v>439</v>
      </c>
      <c r="L72" s="6" t="s">
        <v>49</v>
      </c>
      <c r="M72" s="6" t="s">
        <v>49</v>
      </c>
    </row>
    <row r="73" ht="14.4" spans="1:13">
      <c r="A73" s="6" t="s">
        <v>551</v>
      </c>
      <c r="B73" s="6" t="s">
        <v>543</v>
      </c>
      <c r="C73" s="6" t="s">
        <v>20</v>
      </c>
      <c r="D73" s="6" t="s">
        <v>49</v>
      </c>
      <c r="E73" s="6" t="s">
        <v>49</v>
      </c>
      <c r="F73" s="6" t="s">
        <v>49</v>
      </c>
      <c r="G73" s="6" t="s">
        <v>441</v>
      </c>
      <c r="H73" s="10">
        <v>30</v>
      </c>
      <c r="I73" s="10">
        <v>20</v>
      </c>
      <c r="J73" s="6" t="s">
        <v>442</v>
      </c>
      <c r="K73" s="6" t="s">
        <v>439</v>
      </c>
      <c r="L73" s="6" t="s">
        <v>49</v>
      </c>
      <c r="M73" s="6" t="s">
        <v>49</v>
      </c>
    </row>
    <row r="74" ht="14.4" spans="1:13">
      <c r="A74" s="6" t="s">
        <v>552</v>
      </c>
      <c r="B74" s="6" t="s">
        <v>545</v>
      </c>
      <c r="C74" s="6" t="s">
        <v>20</v>
      </c>
      <c r="D74" s="6" t="s">
        <v>49</v>
      </c>
      <c r="E74" s="6" t="s">
        <v>49</v>
      </c>
      <c r="F74" s="6" t="s">
        <v>49</v>
      </c>
      <c r="G74" s="6" t="s">
        <v>441</v>
      </c>
      <c r="H74" s="10">
        <v>30</v>
      </c>
      <c r="I74" s="10">
        <v>20</v>
      </c>
      <c r="J74" s="6" t="s">
        <v>442</v>
      </c>
      <c r="K74" s="6" t="s">
        <v>439</v>
      </c>
      <c r="L74" s="6" t="s">
        <v>49</v>
      </c>
      <c r="M74" s="6" t="s">
        <v>49</v>
      </c>
    </row>
    <row r="75" ht="14.4" spans="1:13">
      <c r="A75" s="6" t="s">
        <v>553</v>
      </c>
      <c r="B75" s="6" t="s">
        <v>554</v>
      </c>
      <c r="C75" s="6" t="s">
        <v>21</v>
      </c>
      <c r="D75" s="6" t="s">
        <v>49</v>
      </c>
      <c r="E75" s="6" t="s">
        <v>49</v>
      </c>
      <c r="F75" s="6" t="s">
        <v>49</v>
      </c>
      <c r="G75" s="6" t="s">
        <v>437</v>
      </c>
      <c r="H75" s="10">
        <v>80</v>
      </c>
      <c r="I75" s="10">
        <v>15</v>
      </c>
      <c r="J75" s="6" t="s">
        <v>438</v>
      </c>
      <c r="K75" s="6" t="s">
        <v>439</v>
      </c>
      <c r="L75" s="6" t="s">
        <v>49</v>
      </c>
      <c r="M75" s="6" t="s">
        <v>49</v>
      </c>
    </row>
    <row r="76" ht="14.4" spans="1:13">
      <c r="A76" s="6" t="s">
        <v>555</v>
      </c>
      <c r="B76" s="6" t="s">
        <v>556</v>
      </c>
      <c r="C76" s="6" t="s">
        <v>21</v>
      </c>
      <c r="D76" s="6" t="s">
        <v>49</v>
      </c>
      <c r="E76" s="6" t="s">
        <v>49</v>
      </c>
      <c r="F76" s="6" t="s">
        <v>49</v>
      </c>
      <c r="G76" s="6" t="s">
        <v>437</v>
      </c>
      <c r="H76" s="10">
        <v>80</v>
      </c>
      <c r="I76" s="10">
        <v>15</v>
      </c>
      <c r="J76" s="6" t="s">
        <v>438</v>
      </c>
      <c r="K76" s="6" t="s">
        <v>439</v>
      </c>
      <c r="L76" s="6" t="s">
        <v>49</v>
      </c>
      <c r="M76" s="6" t="s">
        <v>49</v>
      </c>
    </row>
    <row r="77" ht="14.4" spans="1:13">
      <c r="A77" s="6" t="s">
        <v>557</v>
      </c>
      <c r="B77" s="6" t="s">
        <v>541</v>
      </c>
      <c r="C77" s="6" t="s">
        <v>21</v>
      </c>
      <c r="D77" s="6" t="s">
        <v>49</v>
      </c>
      <c r="E77" s="6" t="s">
        <v>49</v>
      </c>
      <c r="F77" s="6" t="s">
        <v>49</v>
      </c>
      <c r="G77" s="6" t="s">
        <v>437</v>
      </c>
      <c r="H77" s="10">
        <v>80</v>
      </c>
      <c r="I77" s="10">
        <v>15</v>
      </c>
      <c r="J77" s="6" t="s">
        <v>438</v>
      </c>
      <c r="K77" s="6" t="s">
        <v>439</v>
      </c>
      <c r="L77" s="6" t="s">
        <v>49</v>
      </c>
      <c r="M77" s="6" t="s">
        <v>49</v>
      </c>
    </row>
    <row r="78" ht="14.4" spans="1:13">
      <c r="A78" s="6" t="s">
        <v>558</v>
      </c>
      <c r="B78" s="6" t="s">
        <v>559</v>
      </c>
      <c r="C78" s="6" t="s">
        <v>21</v>
      </c>
      <c r="D78" s="6" t="s">
        <v>49</v>
      </c>
      <c r="E78" s="6" t="s">
        <v>49</v>
      </c>
      <c r="F78" s="6" t="s">
        <v>49</v>
      </c>
      <c r="G78" s="6" t="s">
        <v>437</v>
      </c>
      <c r="H78" s="10">
        <v>80</v>
      </c>
      <c r="I78" s="10">
        <v>15</v>
      </c>
      <c r="J78" s="6" t="s">
        <v>438</v>
      </c>
      <c r="K78" s="6" t="s">
        <v>439</v>
      </c>
      <c r="L78" s="6" t="s">
        <v>49</v>
      </c>
      <c r="M78" s="6" t="s">
        <v>49</v>
      </c>
    </row>
    <row r="79" ht="14.4" spans="1:13">
      <c r="A79" s="6" t="s">
        <v>560</v>
      </c>
      <c r="B79" s="6" t="s">
        <v>541</v>
      </c>
      <c r="C79" s="6" t="s">
        <v>21</v>
      </c>
      <c r="D79" s="6" t="s">
        <v>49</v>
      </c>
      <c r="E79" s="6" t="s">
        <v>49</v>
      </c>
      <c r="F79" s="6" t="s">
        <v>49</v>
      </c>
      <c r="G79" s="6" t="s">
        <v>437</v>
      </c>
      <c r="H79" s="10">
        <v>80</v>
      </c>
      <c r="I79" s="10">
        <v>15</v>
      </c>
      <c r="J79" s="6" t="s">
        <v>438</v>
      </c>
      <c r="K79" s="6" t="s">
        <v>439</v>
      </c>
      <c r="L79" s="6" t="s">
        <v>49</v>
      </c>
      <c r="M79" s="6" t="s">
        <v>49</v>
      </c>
    </row>
    <row r="80" ht="14.4" spans="1:13">
      <c r="A80" s="6" t="s">
        <v>561</v>
      </c>
      <c r="B80" s="6" t="s">
        <v>559</v>
      </c>
      <c r="C80" s="6" t="s">
        <v>21</v>
      </c>
      <c r="D80" s="6" t="s">
        <v>49</v>
      </c>
      <c r="E80" s="6" t="s">
        <v>49</v>
      </c>
      <c r="F80" s="6" t="s">
        <v>49</v>
      </c>
      <c r="G80" s="6" t="s">
        <v>437</v>
      </c>
      <c r="H80" s="10">
        <v>80</v>
      </c>
      <c r="I80" s="10">
        <v>15</v>
      </c>
      <c r="J80" s="6" t="s">
        <v>438</v>
      </c>
      <c r="K80" s="6" t="s">
        <v>439</v>
      </c>
      <c r="L80" s="6" t="s">
        <v>49</v>
      </c>
      <c r="M80" s="6" t="s">
        <v>49</v>
      </c>
    </row>
    <row r="81" ht="14.4" spans="1:13">
      <c r="A81" s="6" t="s">
        <v>562</v>
      </c>
      <c r="B81" s="6" t="s">
        <v>541</v>
      </c>
      <c r="C81" s="6" t="s">
        <v>21</v>
      </c>
      <c r="D81" s="6" t="s">
        <v>49</v>
      </c>
      <c r="E81" s="6" t="s">
        <v>49</v>
      </c>
      <c r="F81" s="6" t="s">
        <v>49</v>
      </c>
      <c r="G81" s="6" t="s">
        <v>437</v>
      </c>
      <c r="H81" s="10">
        <v>80</v>
      </c>
      <c r="I81" s="10">
        <v>15</v>
      </c>
      <c r="J81" s="6" t="s">
        <v>438</v>
      </c>
      <c r="K81" s="6" t="s">
        <v>439</v>
      </c>
      <c r="L81" s="6" t="s">
        <v>49</v>
      </c>
      <c r="M81" s="6" t="s">
        <v>49</v>
      </c>
    </row>
    <row r="82" ht="14.4" spans="1:13">
      <c r="A82" s="6" t="s">
        <v>563</v>
      </c>
      <c r="B82" s="6" t="s">
        <v>564</v>
      </c>
      <c r="C82" s="6" t="s">
        <v>20</v>
      </c>
      <c r="D82" s="6" t="s">
        <v>49</v>
      </c>
      <c r="E82" s="6" t="s">
        <v>49</v>
      </c>
      <c r="F82" s="6" t="s">
        <v>49</v>
      </c>
      <c r="G82" s="6" t="s">
        <v>441</v>
      </c>
      <c r="H82" s="10">
        <v>30</v>
      </c>
      <c r="I82" s="10">
        <v>20</v>
      </c>
      <c r="J82" s="6" t="s">
        <v>442</v>
      </c>
      <c r="K82" s="6" t="s">
        <v>439</v>
      </c>
      <c r="L82" s="6" t="s">
        <v>49</v>
      </c>
      <c r="M82" s="6" t="s">
        <v>49</v>
      </c>
    </row>
    <row r="83" ht="14.4" spans="1:13">
      <c r="A83" s="6" t="s">
        <v>565</v>
      </c>
      <c r="B83" s="6" t="s">
        <v>545</v>
      </c>
      <c r="C83" s="6" t="s">
        <v>20</v>
      </c>
      <c r="D83" s="6" t="s">
        <v>49</v>
      </c>
      <c r="E83" s="6" t="s">
        <v>49</v>
      </c>
      <c r="F83" s="6" t="s">
        <v>49</v>
      </c>
      <c r="G83" s="6" t="s">
        <v>441</v>
      </c>
      <c r="H83" s="10">
        <v>30</v>
      </c>
      <c r="I83" s="10">
        <v>20</v>
      </c>
      <c r="J83" s="6" t="s">
        <v>442</v>
      </c>
      <c r="K83" s="6" t="s">
        <v>439</v>
      </c>
      <c r="L83" s="6" t="s">
        <v>49</v>
      </c>
      <c r="M83" s="6" t="s">
        <v>49</v>
      </c>
    </row>
    <row r="84" ht="14.4" spans="1:13">
      <c r="A84" s="6" t="s">
        <v>566</v>
      </c>
      <c r="B84" s="6" t="s">
        <v>567</v>
      </c>
      <c r="C84" s="6" t="s">
        <v>21</v>
      </c>
      <c r="D84" s="6" t="s">
        <v>49</v>
      </c>
      <c r="E84" s="6" t="s">
        <v>49</v>
      </c>
      <c r="F84" s="6" t="s">
        <v>49</v>
      </c>
      <c r="G84" s="6" t="s">
        <v>437</v>
      </c>
      <c r="H84" s="10">
        <v>80</v>
      </c>
      <c r="I84" s="10">
        <v>15</v>
      </c>
      <c r="J84" s="6" t="s">
        <v>438</v>
      </c>
      <c r="K84" s="6" t="s">
        <v>439</v>
      </c>
      <c r="L84" s="6" t="s">
        <v>49</v>
      </c>
      <c r="M84" s="6" t="s">
        <v>49</v>
      </c>
    </row>
    <row r="85" ht="14.4" spans="1:13">
      <c r="A85" s="6" t="s">
        <v>568</v>
      </c>
      <c r="B85" s="6" t="s">
        <v>569</v>
      </c>
      <c r="C85" s="6" t="s">
        <v>21</v>
      </c>
      <c r="D85" s="6" t="s">
        <v>49</v>
      </c>
      <c r="E85" s="6" t="s">
        <v>49</v>
      </c>
      <c r="F85" s="6" t="s">
        <v>49</v>
      </c>
      <c r="G85" s="6" t="s">
        <v>437</v>
      </c>
      <c r="H85" s="10">
        <v>80</v>
      </c>
      <c r="I85" s="10">
        <v>15</v>
      </c>
      <c r="J85" s="6" t="s">
        <v>438</v>
      </c>
      <c r="K85" s="6" t="s">
        <v>439</v>
      </c>
      <c r="L85" s="6" t="s">
        <v>49</v>
      </c>
      <c r="M85" s="6" t="s">
        <v>49</v>
      </c>
    </row>
    <row r="86" ht="14.4" spans="1:13">
      <c r="A86" s="6" t="s">
        <v>570</v>
      </c>
      <c r="B86" s="6" t="s">
        <v>541</v>
      </c>
      <c r="C86" s="6" t="s">
        <v>21</v>
      </c>
      <c r="D86" s="6" t="s">
        <v>49</v>
      </c>
      <c r="E86" s="6" t="s">
        <v>49</v>
      </c>
      <c r="F86" s="6" t="s">
        <v>49</v>
      </c>
      <c r="G86" s="6" t="s">
        <v>437</v>
      </c>
      <c r="H86" s="10">
        <v>80</v>
      </c>
      <c r="I86" s="10">
        <v>15</v>
      </c>
      <c r="J86" s="6" t="s">
        <v>438</v>
      </c>
      <c r="K86" s="6" t="s">
        <v>439</v>
      </c>
      <c r="L86" s="6" t="s">
        <v>49</v>
      </c>
      <c r="M86" s="6" t="s">
        <v>49</v>
      </c>
    </row>
    <row r="87" ht="14.4" spans="1:13">
      <c r="A87" s="6" t="s">
        <v>571</v>
      </c>
      <c r="B87" s="6" t="s">
        <v>564</v>
      </c>
      <c r="C87" s="6" t="s">
        <v>20</v>
      </c>
      <c r="D87" s="6" t="s">
        <v>49</v>
      </c>
      <c r="E87" s="6" t="s">
        <v>49</v>
      </c>
      <c r="F87" s="6" t="s">
        <v>49</v>
      </c>
      <c r="G87" s="6" t="s">
        <v>441</v>
      </c>
      <c r="H87" s="10">
        <v>30</v>
      </c>
      <c r="I87" s="10">
        <v>20</v>
      </c>
      <c r="J87" s="6" t="s">
        <v>442</v>
      </c>
      <c r="K87" s="6" t="s">
        <v>439</v>
      </c>
      <c r="L87" s="6" t="s">
        <v>49</v>
      </c>
      <c r="M87" s="6" t="s">
        <v>49</v>
      </c>
    </row>
    <row r="88" ht="14.4" spans="1:13">
      <c r="A88" s="6" t="s">
        <v>572</v>
      </c>
      <c r="B88" s="6" t="s">
        <v>545</v>
      </c>
      <c r="C88" s="6" t="s">
        <v>20</v>
      </c>
      <c r="D88" s="6" t="s">
        <v>49</v>
      </c>
      <c r="E88" s="6" t="s">
        <v>49</v>
      </c>
      <c r="F88" s="6" t="s">
        <v>49</v>
      </c>
      <c r="G88" s="6" t="s">
        <v>441</v>
      </c>
      <c r="H88" s="10">
        <v>30</v>
      </c>
      <c r="I88" s="10">
        <v>20</v>
      </c>
      <c r="J88" s="6" t="s">
        <v>442</v>
      </c>
      <c r="K88" s="6" t="s">
        <v>439</v>
      </c>
      <c r="L88" s="6" t="s">
        <v>49</v>
      </c>
      <c r="M88" s="6" t="s">
        <v>49</v>
      </c>
    </row>
    <row r="89" ht="14.4" spans="1:13">
      <c r="A89" s="6" t="s">
        <v>573</v>
      </c>
      <c r="B89" s="6" t="s">
        <v>574</v>
      </c>
      <c r="C89" s="6" t="s">
        <v>21</v>
      </c>
      <c r="D89" s="6" t="s">
        <v>49</v>
      </c>
      <c r="E89" s="6" t="s">
        <v>49</v>
      </c>
      <c r="F89" s="6" t="s">
        <v>49</v>
      </c>
      <c r="G89" s="6" t="s">
        <v>437</v>
      </c>
      <c r="H89" s="10">
        <v>80</v>
      </c>
      <c r="I89" s="10">
        <v>15</v>
      </c>
      <c r="J89" s="6" t="s">
        <v>438</v>
      </c>
      <c r="K89" s="6" t="s">
        <v>439</v>
      </c>
      <c r="L89" s="6" t="s">
        <v>49</v>
      </c>
      <c r="M89" s="6" t="s">
        <v>49</v>
      </c>
    </row>
    <row r="90" ht="14.4" spans="1:13">
      <c r="A90" s="6" t="s">
        <v>575</v>
      </c>
      <c r="B90" s="6" t="s">
        <v>576</v>
      </c>
      <c r="C90" s="6" t="s">
        <v>21</v>
      </c>
      <c r="D90" s="6" t="s">
        <v>49</v>
      </c>
      <c r="E90" s="6" t="s">
        <v>49</v>
      </c>
      <c r="F90" s="6" t="s">
        <v>49</v>
      </c>
      <c r="G90" s="6" t="s">
        <v>437</v>
      </c>
      <c r="H90" s="10">
        <v>80</v>
      </c>
      <c r="I90" s="10">
        <v>15</v>
      </c>
      <c r="J90" s="6" t="s">
        <v>438</v>
      </c>
      <c r="K90" s="6" t="s">
        <v>439</v>
      </c>
      <c r="L90" s="6" t="s">
        <v>49</v>
      </c>
      <c r="M90" s="6" t="s">
        <v>49</v>
      </c>
    </row>
    <row r="91" ht="14.4" spans="1:13">
      <c r="A91" s="6" t="s">
        <v>577</v>
      </c>
      <c r="B91" s="6" t="s">
        <v>541</v>
      </c>
      <c r="C91" s="6" t="s">
        <v>21</v>
      </c>
      <c r="D91" s="6" t="s">
        <v>49</v>
      </c>
      <c r="E91" s="6" t="s">
        <v>49</v>
      </c>
      <c r="F91" s="6" t="s">
        <v>49</v>
      </c>
      <c r="G91" s="6" t="s">
        <v>437</v>
      </c>
      <c r="H91" s="10">
        <v>80</v>
      </c>
      <c r="I91" s="10">
        <v>15</v>
      </c>
      <c r="J91" s="6" t="s">
        <v>438</v>
      </c>
      <c r="K91" s="6" t="s">
        <v>439</v>
      </c>
      <c r="L91" s="6" t="s">
        <v>49</v>
      </c>
      <c r="M91" s="6" t="s">
        <v>49</v>
      </c>
    </row>
    <row r="92" ht="14.4" spans="1:13">
      <c r="A92" s="6" t="s">
        <v>578</v>
      </c>
      <c r="B92" s="6" t="s">
        <v>579</v>
      </c>
      <c r="C92" s="6" t="s">
        <v>20</v>
      </c>
      <c r="D92" s="6" t="s">
        <v>49</v>
      </c>
      <c r="E92" s="6" t="s">
        <v>49</v>
      </c>
      <c r="F92" s="6" t="s">
        <v>49</v>
      </c>
      <c r="G92" s="6" t="s">
        <v>441</v>
      </c>
      <c r="H92" s="10">
        <v>30</v>
      </c>
      <c r="I92" s="10">
        <v>20</v>
      </c>
      <c r="J92" s="6" t="s">
        <v>442</v>
      </c>
      <c r="K92" s="6" t="s">
        <v>439</v>
      </c>
      <c r="L92" s="6" t="s">
        <v>49</v>
      </c>
      <c r="M92" s="6" t="s">
        <v>49</v>
      </c>
    </row>
    <row r="93" ht="14.4" spans="1:13">
      <c r="A93" s="6" t="s">
        <v>580</v>
      </c>
      <c r="B93" s="6" t="s">
        <v>545</v>
      </c>
      <c r="C93" s="6" t="s">
        <v>20</v>
      </c>
      <c r="D93" s="6" t="s">
        <v>49</v>
      </c>
      <c r="E93" s="6" t="s">
        <v>49</v>
      </c>
      <c r="F93" s="6" t="s">
        <v>49</v>
      </c>
      <c r="G93" s="6" t="s">
        <v>441</v>
      </c>
      <c r="H93" s="10">
        <v>30</v>
      </c>
      <c r="I93" s="10">
        <v>20</v>
      </c>
      <c r="J93" s="6" t="s">
        <v>442</v>
      </c>
      <c r="K93" s="6" t="s">
        <v>439</v>
      </c>
      <c r="L93" s="6" t="s">
        <v>49</v>
      </c>
      <c r="M93" s="6" t="s">
        <v>49</v>
      </c>
    </row>
    <row r="94" ht="14.4" spans="1:13">
      <c r="A94" s="6" t="s">
        <v>581</v>
      </c>
      <c r="B94" s="6" t="s">
        <v>582</v>
      </c>
      <c r="C94" s="6" t="s">
        <v>21</v>
      </c>
      <c r="D94" s="6" t="s">
        <v>49</v>
      </c>
      <c r="E94" s="6" t="s">
        <v>49</v>
      </c>
      <c r="F94" s="6" t="s">
        <v>49</v>
      </c>
      <c r="G94" s="6" t="s">
        <v>437</v>
      </c>
      <c r="H94" s="10">
        <v>80</v>
      </c>
      <c r="I94" s="10">
        <v>15</v>
      </c>
      <c r="J94" s="6" t="s">
        <v>438</v>
      </c>
      <c r="K94" s="6" t="s">
        <v>439</v>
      </c>
      <c r="L94" s="6" t="s">
        <v>49</v>
      </c>
      <c r="M94" s="6" t="s">
        <v>49</v>
      </c>
    </row>
    <row r="95" ht="14.4" spans="1:13">
      <c r="A95" s="6" t="s">
        <v>583</v>
      </c>
      <c r="B95" s="6" t="s">
        <v>584</v>
      </c>
      <c r="C95" s="6" t="s">
        <v>21</v>
      </c>
      <c r="D95" s="6" t="s">
        <v>49</v>
      </c>
      <c r="E95" s="6" t="s">
        <v>49</v>
      </c>
      <c r="F95" s="6" t="s">
        <v>49</v>
      </c>
      <c r="G95" s="6" t="s">
        <v>437</v>
      </c>
      <c r="H95" s="10">
        <v>80</v>
      </c>
      <c r="I95" s="10">
        <v>15</v>
      </c>
      <c r="J95" s="6" t="s">
        <v>438</v>
      </c>
      <c r="K95" s="6" t="s">
        <v>439</v>
      </c>
      <c r="L95" s="6" t="s">
        <v>49</v>
      </c>
      <c r="M95" s="6" t="s">
        <v>49</v>
      </c>
    </row>
    <row r="96" ht="14.4" spans="1:13">
      <c r="A96" s="6" t="s">
        <v>585</v>
      </c>
      <c r="B96" s="6" t="s">
        <v>541</v>
      </c>
      <c r="C96" s="6" t="s">
        <v>21</v>
      </c>
      <c r="D96" s="6" t="s">
        <v>49</v>
      </c>
      <c r="E96" s="6" t="s">
        <v>49</v>
      </c>
      <c r="F96" s="6" t="s">
        <v>49</v>
      </c>
      <c r="G96" s="6" t="s">
        <v>437</v>
      </c>
      <c r="H96" s="10">
        <v>80</v>
      </c>
      <c r="I96" s="10">
        <v>15</v>
      </c>
      <c r="J96" s="6" t="s">
        <v>438</v>
      </c>
      <c r="K96" s="6" t="s">
        <v>439</v>
      </c>
      <c r="L96" s="6" t="s">
        <v>49</v>
      </c>
      <c r="M96" s="6" t="s">
        <v>49</v>
      </c>
    </row>
    <row r="97" ht="14.4" spans="1:13">
      <c r="A97" s="6" t="s">
        <v>586</v>
      </c>
      <c r="B97" s="6" t="s">
        <v>564</v>
      </c>
      <c r="C97" s="6" t="s">
        <v>20</v>
      </c>
      <c r="D97" s="6" t="s">
        <v>49</v>
      </c>
      <c r="E97" s="6" t="s">
        <v>49</v>
      </c>
      <c r="F97" s="6" t="s">
        <v>49</v>
      </c>
      <c r="G97" s="6" t="s">
        <v>441</v>
      </c>
      <c r="H97" s="10">
        <v>30</v>
      </c>
      <c r="I97" s="10">
        <v>20</v>
      </c>
      <c r="J97" s="6" t="s">
        <v>442</v>
      </c>
      <c r="K97" s="6" t="s">
        <v>439</v>
      </c>
      <c r="L97" s="6" t="s">
        <v>49</v>
      </c>
      <c r="M97" s="6" t="s">
        <v>49</v>
      </c>
    </row>
    <row r="98" ht="14.4" spans="1:13">
      <c r="A98" s="6" t="s">
        <v>587</v>
      </c>
      <c r="B98" s="6" t="s">
        <v>545</v>
      </c>
      <c r="C98" s="6" t="s">
        <v>20</v>
      </c>
      <c r="D98" s="6" t="s">
        <v>49</v>
      </c>
      <c r="E98" s="6" t="s">
        <v>49</v>
      </c>
      <c r="F98" s="6" t="s">
        <v>49</v>
      </c>
      <c r="G98" s="6" t="s">
        <v>441</v>
      </c>
      <c r="H98" s="10">
        <v>30</v>
      </c>
      <c r="I98" s="10">
        <v>20</v>
      </c>
      <c r="J98" s="6" t="s">
        <v>442</v>
      </c>
      <c r="K98" s="6" t="s">
        <v>439</v>
      </c>
      <c r="L98" s="6" t="s">
        <v>49</v>
      </c>
      <c r="M98" s="6" t="s">
        <v>49</v>
      </c>
    </row>
    <row r="99" ht="14.4" spans="1:13">
      <c r="A99" s="6" t="s">
        <v>588</v>
      </c>
      <c r="B99" s="6" t="s">
        <v>589</v>
      </c>
      <c r="C99" s="6" t="s">
        <v>21</v>
      </c>
      <c r="D99" s="6" t="s">
        <v>49</v>
      </c>
      <c r="E99" s="6" t="s">
        <v>49</v>
      </c>
      <c r="F99" s="6" t="s">
        <v>49</v>
      </c>
      <c r="G99" s="6" t="s">
        <v>437</v>
      </c>
      <c r="H99" s="10">
        <v>80</v>
      </c>
      <c r="I99" s="10">
        <v>15</v>
      </c>
      <c r="J99" s="6" t="s">
        <v>438</v>
      </c>
      <c r="K99" s="6" t="s">
        <v>439</v>
      </c>
      <c r="L99" s="6" t="s">
        <v>49</v>
      </c>
      <c r="M99" s="6" t="s">
        <v>49</v>
      </c>
    </row>
    <row r="100" ht="14.4" spans="1:13">
      <c r="A100" s="6" t="s">
        <v>590</v>
      </c>
      <c r="B100" s="6" t="s">
        <v>591</v>
      </c>
      <c r="C100" s="6" t="s">
        <v>21</v>
      </c>
      <c r="D100" s="6" t="s">
        <v>49</v>
      </c>
      <c r="E100" s="6" t="s">
        <v>49</v>
      </c>
      <c r="F100" s="6" t="s">
        <v>49</v>
      </c>
      <c r="G100" s="6" t="s">
        <v>437</v>
      </c>
      <c r="H100" s="10">
        <v>80</v>
      </c>
      <c r="I100" s="10">
        <v>15</v>
      </c>
      <c r="J100" s="6" t="s">
        <v>438</v>
      </c>
      <c r="K100" s="6" t="s">
        <v>439</v>
      </c>
      <c r="L100" s="6" t="s">
        <v>49</v>
      </c>
      <c r="M100" s="6" t="s">
        <v>49</v>
      </c>
    </row>
    <row r="101" ht="14.4" spans="1:13">
      <c r="A101" s="6" t="s">
        <v>592</v>
      </c>
      <c r="B101" s="6" t="s">
        <v>541</v>
      </c>
      <c r="C101" s="6" t="s">
        <v>21</v>
      </c>
      <c r="D101" s="6" t="s">
        <v>49</v>
      </c>
      <c r="E101" s="6" t="s">
        <v>49</v>
      </c>
      <c r="F101" s="6" t="s">
        <v>49</v>
      </c>
      <c r="G101" s="6" t="s">
        <v>437</v>
      </c>
      <c r="H101" s="10">
        <v>80</v>
      </c>
      <c r="I101" s="10">
        <v>15</v>
      </c>
      <c r="J101" s="6" t="s">
        <v>438</v>
      </c>
      <c r="K101" s="6" t="s">
        <v>439</v>
      </c>
      <c r="L101" s="6" t="s">
        <v>49</v>
      </c>
      <c r="M101" s="6" t="s">
        <v>49</v>
      </c>
    </row>
    <row r="102" ht="14.4" spans="1:13">
      <c r="A102" s="6" t="s">
        <v>593</v>
      </c>
      <c r="B102" s="6" t="s">
        <v>594</v>
      </c>
      <c r="C102" s="6" t="s">
        <v>20</v>
      </c>
      <c r="D102" s="6" t="s">
        <v>49</v>
      </c>
      <c r="E102" s="6" t="s">
        <v>49</v>
      </c>
      <c r="F102" s="6" t="s">
        <v>49</v>
      </c>
      <c r="G102" s="6" t="s">
        <v>441</v>
      </c>
      <c r="H102" s="10">
        <v>30</v>
      </c>
      <c r="I102" s="10">
        <v>20</v>
      </c>
      <c r="J102" s="6" t="s">
        <v>442</v>
      </c>
      <c r="K102" s="6" t="s">
        <v>439</v>
      </c>
      <c r="L102" s="6" t="s">
        <v>49</v>
      </c>
      <c r="M102" s="6" t="s">
        <v>49</v>
      </c>
    </row>
    <row r="103" ht="14.4" spans="1:13">
      <c r="A103" s="6" t="s">
        <v>595</v>
      </c>
      <c r="B103" s="6" t="s">
        <v>541</v>
      </c>
      <c r="C103" s="6" t="s">
        <v>21</v>
      </c>
      <c r="D103" s="6" t="s">
        <v>49</v>
      </c>
      <c r="E103" s="6" t="s">
        <v>49</v>
      </c>
      <c r="F103" s="6" t="s">
        <v>49</v>
      </c>
      <c r="G103" s="6" t="s">
        <v>437</v>
      </c>
      <c r="H103" s="10">
        <v>80</v>
      </c>
      <c r="I103" s="10">
        <v>15</v>
      </c>
      <c r="J103" s="6" t="s">
        <v>438</v>
      </c>
      <c r="K103" s="6" t="s">
        <v>439</v>
      </c>
      <c r="L103" s="6" t="s">
        <v>49</v>
      </c>
      <c r="M103" s="6" t="s">
        <v>49</v>
      </c>
    </row>
    <row r="104" ht="14.4" spans="1:13">
      <c r="A104" s="6" t="s">
        <v>596</v>
      </c>
      <c r="B104" s="6" t="s">
        <v>594</v>
      </c>
      <c r="C104" s="6" t="s">
        <v>20</v>
      </c>
      <c r="D104" s="6" t="s">
        <v>49</v>
      </c>
      <c r="E104" s="6" t="s">
        <v>49</v>
      </c>
      <c r="F104" s="6" t="s">
        <v>49</v>
      </c>
      <c r="G104" s="6" t="s">
        <v>441</v>
      </c>
      <c r="H104" s="10">
        <v>30</v>
      </c>
      <c r="I104" s="10">
        <v>20</v>
      </c>
      <c r="J104" s="6" t="s">
        <v>442</v>
      </c>
      <c r="K104" s="6" t="s">
        <v>439</v>
      </c>
      <c r="L104" s="6" t="s">
        <v>49</v>
      </c>
      <c r="M104" s="6" t="s">
        <v>49</v>
      </c>
    </row>
    <row r="105" ht="14.4" spans="1:13">
      <c r="A105" s="6" t="s">
        <v>597</v>
      </c>
      <c r="B105" s="6" t="s">
        <v>541</v>
      </c>
      <c r="C105" s="6" t="s">
        <v>21</v>
      </c>
      <c r="D105" s="6" t="s">
        <v>49</v>
      </c>
      <c r="E105" s="6" t="s">
        <v>49</v>
      </c>
      <c r="F105" s="6" t="s">
        <v>49</v>
      </c>
      <c r="G105" s="6" t="s">
        <v>437</v>
      </c>
      <c r="H105" s="10">
        <v>80</v>
      </c>
      <c r="I105" s="10">
        <v>15</v>
      </c>
      <c r="J105" s="6" t="s">
        <v>438</v>
      </c>
      <c r="K105" s="6" t="s">
        <v>439</v>
      </c>
      <c r="L105" s="6" t="s">
        <v>49</v>
      </c>
      <c r="M105" s="6" t="s">
        <v>49</v>
      </c>
    </row>
    <row r="106" ht="14.4" spans="1:13">
      <c r="A106" s="6" t="s">
        <v>598</v>
      </c>
      <c r="B106" s="6" t="s">
        <v>564</v>
      </c>
      <c r="C106" s="6" t="s">
        <v>20</v>
      </c>
      <c r="D106" s="6" t="s">
        <v>49</v>
      </c>
      <c r="E106" s="6" t="s">
        <v>49</v>
      </c>
      <c r="F106" s="6" t="s">
        <v>49</v>
      </c>
      <c r="G106" s="6" t="s">
        <v>441</v>
      </c>
      <c r="H106" s="10">
        <v>30</v>
      </c>
      <c r="I106" s="10">
        <v>20</v>
      </c>
      <c r="J106" s="6" t="s">
        <v>442</v>
      </c>
      <c r="K106" s="6" t="s">
        <v>439</v>
      </c>
      <c r="L106" s="6" t="s">
        <v>49</v>
      </c>
      <c r="M106" s="6" t="s">
        <v>49</v>
      </c>
    </row>
    <row r="107" ht="14.4" spans="1:13">
      <c r="A107" s="6" t="s">
        <v>599</v>
      </c>
      <c r="B107" s="6" t="s">
        <v>545</v>
      </c>
      <c r="C107" s="6" t="s">
        <v>20</v>
      </c>
      <c r="D107" s="6" t="s">
        <v>49</v>
      </c>
      <c r="E107" s="6" t="s">
        <v>49</v>
      </c>
      <c r="F107" s="6" t="s">
        <v>49</v>
      </c>
      <c r="G107" s="6" t="s">
        <v>441</v>
      </c>
      <c r="H107" s="10">
        <v>30</v>
      </c>
      <c r="I107" s="10">
        <v>20</v>
      </c>
      <c r="J107" s="6" t="s">
        <v>442</v>
      </c>
      <c r="K107" s="6" t="s">
        <v>439</v>
      </c>
      <c r="L107" s="6" t="s">
        <v>49</v>
      </c>
      <c r="M107" s="6" t="s">
        <v>49</v>
      </c>
    </row>
    <row r="108" ht="14.4" spans="1:13">
      <c r="A108" s="6" t="s">
        <v>600</v>
      </c>
      <c r="B108" s="6" t="s">
        <v>601</v>
      </c>
      <c r="C108" s="6" t="s">
        <v>21</v>
      </c>
      <c r="D108" s="6" t="s">
        <v>49</v>
      </c>
      <c r="E108" s="6" t="s">
        <v>49</v>
      </c>
      <c r="F108" s="6" t="s">
        <v>49</v>
      </c>
      <c r="G108" s="6" t="s">
        <v>437</v>
      </c>
      <c r="H108" s="10">
        <v>80</v>
      </c>
      <c r="I108" s="10">
        <v>15</v>
      </c>
      <c r="J108" s="6" t="s">
        <v>438</v>
      </c>
      <c r="K108" s="6" t="s">
        <v>439</v>
      </c>
      <c r="L108" s="6" t="s">
        <v>49</v>
      </c>
      <c r="M108" s="6" t="s">
        <v>49</v>
      </c>
    </row>
    <row r="109" ht="14.4" spans="1:13">
      <c r="A109" s="6" t="s">
        <v>602</v>
      </c>
      <c r="B109" s="6" t="s">
        <v>603</v>
      </c>
      <c r="C109" s="6" t="s">
        <v>21</v>
      </c>
      <c r="D109" s="6" t="s">
        <v>49</v>
      </c>
      <c r="E109" s="6" t="s">
        <v>49</v>
      </c>
      <c r="F109" s="6" t="s">
        <v>49</v>
      </c>
      <c r="G109" s="6" t="s">
        <v>437</v>
      </c>
      <c r="H109" s="10">
        <v>80</v>
      </c>
      <c r="I109" s="10">
        <v>15</v>
      </c>
      <c r="J109" s="6" t="s">
        <v>438</v>
      </c>
      <c r="K109" s="6" t="s">
        <v>439</v>
      </c>
      <c r="L109" s="6" t="s">
        <v>49</v>
      </c>
      <c r="M109" s="6" t="s">
        <v>49</v>
      </c>
    </row>
    <row r="110" ht="14.4" spans="1:13">
      <c r="A110" s="6" t="s">
        <v>604</v>
      </c>
      <c r="B110" s="6" t="s">
        <v>605</v>
      </c>
      <c r="C110" s="6" t="s">
        <v>21</v>
      </c>
      <c r="D110" s="6" t="s">
        <v>49</v>
      </c>
      <c r="E110" s="6" t="s">
        <v>49</v>
      </c>
      <c r="F110" s="6" t="s">
        <v>49</v>
      </c>
      <c r="G110" s="6" t="s">
        <v>437</v>
      </c>
      <c r="H110" s="10">
        <v>80</v>
      </c>
      <c r="I110" s="10">
        <v>15</v>
      </c>
      <c r="J110" s="6" t="s">
        <v>438</v>
      </c>
      <c r="K110" s="6" t="s">
        <v>439</v>
      </c>
      <c r="L110" s="6" t="s">
        <v>49</v>
      </c>
      <c r="M110" s="6" t="s">
        <v>49</v>
      </c>
    </row>
    <row r="111" ht="14.4" spans="1:13">
      <c r="A111" s="6" t="s">
        <v>606</v>
      </c>
      <c r="B111" s="6" t="s">
        <v>607</v>
      </c>
      <c r="C111" s="6" t="s">
        <v>21</v>
      </c>
      <c r="D111" s="6" t="s">
        <v>49</v>
      </c>
      <c r="E111" s="6" t="s">
        <v>49</v>
      </c>
      <c r="F111" s="6" t="s">
        <v>49</v>
      </c>
      <c r="G111" s="6" t="s">
        <v>437</v>
      </c>
      <c r="H111" s="10">
        <v>80</v>
      </c>
      <c r="I111" s="10">
        <v>15</v>
      </c>
      <c r="J111" s="6" t="s">
        <v>438</v>
      </c>
      <c r="K111" s="6" t="s">
        <v>439</v>
      </c>
      <c r="L111" s="6" t="s">
        <v>49</v>
      </c>
      <c r="M111" s="6" t="s">
        <v>49</v>
      </c>
    </row>
    <row r="112" ht="14.4" spans="1:13">
      <c r="A112" s="6" t="s">
        <v>608</v>
      </c>
      <c r="B112" s="6" t="s">
        <v>605</v>
      </c>
      <c r="C112" s="6" t="s">
        <v>21</v>
      </c>
      <c r="D112" s="6" t="s">
        <v>49</v>
      </c>
      <c r="E112" s="6" t="s">
        <v>49</v>
      </c>
      <c r="F112" s="6" t="s">
        <v>49</v>
      </c>
      <c r="G112" s="6" t="s">
        <v>437</v>
      </c>
      <c r="H112" s="10">
        <v>80</v>
      </c>
      <c r="I112" s="10">
        <v>15</v>
      </c>
      <c r="J112" s="6" t="s">
        <v>438</v>
      </c>
      <c r="K112" s="6" t="s">
        <v>439</v>
      </c>
      <c r="L112" s="6" t="s">
        <v>49</v>
      </c>
      <c r="M112" s="6" t="s">
        <v>49</v>
      </c>
    </row>
    <row r="113" ht="14.4" spans="1:13">
      <c r="A113" s="6" t="s">
        <v>609</v>
      </c>
      <c r="B113" s="6" t="s">
        <v>594</v>
      </c>
      <c r="C113" s="6" t="s">
        <v>20</v>
      </c>
      <c r="D113" s="6" t="s">
        <v>49</v>
      </c>
      <c r="E113" s="6" t="s">
        <v>49</v>
      </c>
      <c r="F113" s="6" t="s">
        <v>49</v>
      </c>
      <c r="G113" s="6" t="s">
        <v>441</v>
      </c>
      <c r="H113" s="10">
        <v>30</v>
      </c>
      <c r="I113" s="10">
        <v>20</v>
      </c>
      <c r="J113" s="6" t="s">
        <v>442</v>
      </c>
      <c r="K113" s="6" t="s">
        <v>439</v>
      </c>
      <c r="L113" s="6" t="s">
        <v>49</v>
      </c>
      <c r="M113" s="6" t="s">
        <v>49</v>
      </c>
    </row>
    <row r="114" ht="14.4" spans="1:13">
      <c r="A114" s="6" t="s">
        <v>610</v>
      </c>
      <c r="B114" s="6" t="s">
        <v>605</v>
      </c>
      <c r="C114" s="6" t="s">
        <v>21</v>
      </c>
      <c r="D114" s="6" t="s">
        <v>49</v>
      </c>
      <c r="E114" s="6" t="s">
        <v>49</v>
      </c>
      <c r="F114" s="6" t="s">
        <v>49</v>
      </c>
      <c r="G114" s="6" t="s">
        <v>437</v>
      </c>
      <c r="H114" s="10">
        <v>80</v>
      </c>
      <c r="I114" s="10">
        <v>15</v>
      </c>
      <c r="J114" s="6" t="s">
        <v>438</v>
      </c>
      <c r="K114" s="6" t="s">
        <v>439</v>
      </c>
      <c r="L114" s="6" t="s">
        <v>49</v>
      </c>
      <c r="M114" s="6" t="s">
        <v>49</v>
      </c>
    </row>
    <row r="115" ht="14.4" spans="1:13">
      <c r="A115" s="6" t="s">
        <v>611</v>
      </c>
      <c r="B115" s="6" t="s">
        <v>607</v>
      </c>
      <c r="C115" s="6" t="s">
        <v>21</v>
      </c>
      <c r="D115" s="6" t="s">
        <v>49</v>
      </c>
      <c r="E115" s="6" t="s">
        <v>49</v>
      </c>
      <c r="F115" s="6" t="s">
        <v>49</v>
      </c>
      <c r="G115" s="6" t="s">
        <v>437</v>
      </c>
      <c r="H115" s="10">
        <v>80</v>
      </c>
      <c r="I115" s="10">
        <v>15</v>
      </c>
      <c r="J115" s="6" t="s">
        <v>438</v>
      </c>
      <c r="K115" s="6" t="s">
        <v>439</v>
      </c>
      <c r="L115" s="6" t="s">
        <v>49</v>
      </c>
      <c r="M115" s="6" t="s">
        <v>49</v>
      </c>
    </row>
    <row r="116" ht="14.4" spans="1:13">
      <c r="A116" s="6" t="s">
        <v>612</v>
      </c>
      <c r="B116" s="6" t="s">
        <v>605</v>
      </c>
      <c r="C116" s="6" t="s">
        <v>21</v>
      </c>
      <c r="D116" s="6" t="s">
        <v>49</v>
      </c>
      <c r="E116" s="6" t="s">
        <v>49</v>
      </c>
      <c r="F116" s="6" t="s">
        <v>49</v>
      </c>
      <c r="G116" s="6" t="s">
        <v>437</v>
      </c>
      <c r="H116" s="10">
        <v>80</v>
      </c>
      <c r="I116" s="10">
        <v>15</v>
      </c>
      <c r="J116" s="6" t="s">
        <v>438</v>
      </c>
      <c r="K116" s="6" t="s">
        <v>439</v>
      </c>
      <c r="L116" s="6" t="s">
        <v>49</v>
      </c>
      <c r="M116" s="6" t="s">
        <v>49</v>
      </c>
    </row>
    <row r="117" ht="14.4" spans="1:13">
      <c r="A117" s="6" t="s">
        <v>613</v>
      </c>
      <c r="B117" s="6" t="s">
        <v>594</v>
      </c>
      <c r="C117" s="6" t="s">
        <v>20</v>
      </c>
      <c r="D117" s="6" t="s">
        <v>49</v>
      </c>
      <c r="E117" s="6" t="s">
        <v>49</v>
      </c>
      <c r="F117" s="6" t="s">
        <v>49</v>
      </c>
      <c r="G117" s="6" t="s">
        <v>441</v>
      </c>
      <c r="H117" s="10">
        <v>30</v>
      </c>
      <c r="I117" s="10">
        <v>20</v>
      </c>
      <c r="J117" s="6" t="s">
        <v>442</v>
      </c>
      <c r="K117" s="6" t="s">
        <v>439</v>
      </c>
      <c r="L117" s="6" t="s">
        <v>49</v>
      </c>
      <c r="M117" s="6" t="s">
        <v>49</v>
      </c>
    </row>
    <row r="118" ht="14.4" spans="1:13">
      <c r="A118" s="6" t="s">
        <v>614</v>
      </c>
      <c r="B118" s="6" t="s">
        <v>605</v>
      </c>
      <c r="C118" s="6" t="s">
        <v>21</v>
      </c>
      <c r="D118" s="6" t="s">
        <v>49</v>
      </c>
      <c r="E118" s="6" t="s">
        <v>49</v>
      </c>
      <c r="F118" s="6" t="s">
        <v>49</v>
      </c>
      <c r="G118" s="6" t="s">
        <v>437</v>
      </c>
      <c r="H118" s="10">
        <v>80</v>
      </c>
      <c r="I118" s="10">
        <v>15</v>
      </c>
      <c r="J118" s="6" t="s">
        <v>438</v>
      </c>
      <c r="K118" s="6" t="s">
        <v>439</v>
      </c>
      <c r="L118" s="6" t="s">
        <v>49</v>
      </c>
      <c r="M118" s="6" t="s">
        <v>49</v>
      </c>
    </row>
    <row r="119" ht="14.4" spans="1:13">
      <c r="A119" s="6" t="s">
        <v>615</v>
      </c>
      <c r="B119" s="6" t="s">
        <v>607</v>
      </c>
      <c r="C119" s="6" t="s">
        <v>21</v>
      </c>
      <c r="D119" s="6" t="s">
        <v>49</v>
      </c>
      <c r="E119" s="6" t="s">
        <v>49</v>
      </c>
      <c r="F119" s="6" t="s">
        <v>49</v>
      </c>
      <c r="G119" s="6" t="s">
        <v>437</v>
      </c>
      <c r="H119" s="10">
        <v>80</v>
      </c>
      <c r="I119" s="10">
        <v>15</v>
      </c>
      <c r="J119" s="6" t="s">
        <v>438</v>
      </c>
      <c r="K119" s="6" t="s">
        <v>439</v>
      </c>
      <c r="L119" s="6" t="s">
        <v>49</v>
      </c>
      <c r="M119" s="6" t="s">
        <v>49</v>
      </c>
    </row>
    <row r="120" ht="14.4" spans="1:13">
      <c r="A120" s="6" t="s">
        <v>616</v>
      </c>
      <c r="B120" s="6" t="s">
        <v>605</v>
      </c>
      <c r="C120" s="6" t="s">
        <v>21</v>
      </c>
      <c r="D120" s="6" t="s">
        <v>49</v>
      </c>
      <c r="E120" s="6" t="s">
        <v>49</v>
      </c>
      <c r="F120" s="6" t="s">
        <v>49</v>
      </c>
      <c r="G120" s="6" t="s">
        <v>437</v>
      </c>
      <c r="H120" s="10">
        <v>80</v>
      </c>
      <c r="I120" s="10">
        <v>15</v>
      </c>
      <c r="J120" s="6" t="s">
        <v>438</v>
      </c>
      <c r="K120" s="6" t="s">
        <v>439</v>
      </c>
      <c r="L120" s="6" t="s">
        <v>49</v>
      </c>
      <c r="M120" s="6" t="s">
        <v>49</v>
      </c>
    </row>
    <row r="121" ht="14.4" spans="1:13">
      <c r="A121" s="6" t="s">
        <v>617</v>
      </c>
      <c r="B121" s="6" t="s">
        <v>594</v>
      </c>
      <c r="C121" s="6" t="s">
        <v>20</v>
      </c>
      <c r="D121" s="6" t="s">
        <v>49</v>
      </c>
      <c r="E121" s="6" t="s">
        <v>49</v>
      </c>
      <c r="F121" s="6" t="s">
        <v>49</v>
      </c>
      <c r="G121" s="6" t="s">
        <v>441</v>
      </c>
      <c r="H121" s="10">
        <v>30</v>
      </c>
      <c r="I121" s="10">
        <v>20</v>
      </c>
      <c r="J121" s="6" t="s">
        <v>442</v>
      </c>
      <c r="K121" s="6" t="s">
        <v>439</v>
      </c>
      <c r="L121" s="6" t="s">
        <v>49</v>
      </c>
      <c r="M121" s="6" t="s">
        <v>49</v>
      </c>
    </row>
    <row r="122" ht="14.4" spans="1:13">
      <c r="A122" s="6" t="s">
        <v>618</v>
      </c>
      <c r="B122" s="6" t="s">
        <v>619</v>
      </c>
      <c r="C122" s="6" t="s">
        <v>21</v>
      </c>
      <c r="D122" s="6" t="s">
        <v>49</v>
      </c>
      <c r="E122" s="6" t="s">
        <v>49</v>
      </c>
      <c r="F122" s="6" t="s">
        <v>49</v>
      </c>
      <c r="G122" s="6" t="s">
        <v>437</v>
      </c>
      <c r="H122" s="10">
        <v>80</v>
      </c>
      <c r="I122" s="10">
        <v>15</v>
      </c>
      <c r="J122" s="6" t="s">
        <v>438</v>
      </c>
      <c r="K122" s="6" t="s">
        <v>439</v>
      </c>
      <c r="L122" s="6" t="s">
        <v>49</v>
      </c>
      <c r="M122" s="6" t="s">
        <v>49</v>
      </c>
    </row>
    <row r="123" ht="14.4" spans="1:13">
      <c r="A123" s="6" t="s">
        <v>620</v>
      </c>
      <c r="B123" s="6" t="s">
        <v>607</v>
      </c>
      <c r="C123" s="6" t="s">
        <v>20</v>
      </c>
      <c r="D123" s="6" t="s">
        <v>49</v>
      </c>
      <c r="E123" s="6" t="s">
        <v>49</v>
      </c>
      <c r="F123" s="6" t="s">
        <v>49</v>
      </c>
      <c r="G123" s="6" t="s">
        <v>441</v>
      </c>
      <c r="H123" s="10">
        <v>30</v>
      </c>
      <c r="I123" s="10">
        <v>20</v>
      </c>
      <c r="J123" s="6" t="s">
        <v>442</v>
      </c>
      <c r="K123" s="6" t="s">
        <v>439</v>
      </c>
      <c r="L123" s="6" t="s">
        <v>49</v>
      </c>
      <c r="M123" s="6" t="s">
        <v>49</v>
      </c>
    </row>
    <row r="124" ht="14.4" spans="1:13">
      <c r="A124" s="6" t="s">
        <v>621</v>
      </c>
      <c r="B124" s="6" t="s">
        <v>622</v>
      </c>
      <c r="C124" s="6" t="s">
        <v>21</v>
      </c>
      <c r="D124" s="6" t="s">
        <v>49</v>
      </c>
      <c r="E124" s="6" t="s">
        <v>49</v>
      </c>
      <c r="F124" s="6" t="s">
        <v>49</v>
      </c>
      <c r="G124" s="6" t="s">
        <v>437</v>
      </c>
      <c r="H124" s="10">
        <v>80</v>
      </c>
      <c r="I124" s="10">
        <v>15</v>
      </c>
      <c r="J124" s="6" t="s">
        <v>438</v>
      </c>
      <c r="K124" s="6" t="s">
        <v>439</v>
      </c>
      <c r="L124" s="6" t="s">
        <v>49</v>
      </c>
      <c r="M124" s="6" t="s">
        <v>49</v>
      </c>
    </row>
    <row r="125" ht="14.4" spans="1:13">
      <c r="A125" s="6" t="s">
        <v>623</v>
      </c>
      <c r="B125" s="6" t="s">
        <v>564</v>
      </c>
      <c r="C125" s="6" t="s">
        <v>20</v>
      </c>
      <c r="D125" s="6" t="s">
        <v>49</v>
      </c>
      <c r="E125" s="6" t="s">
        <v>49</v>
      </c>
      <c r="F125" s="6" t="s">
        <v>49</v>
      </c>
      <c r="G125" s="6" t="s">
        <v>441</v>
      </c>
      <c r="H125" s="10">
        <v>30</v>
      </c>
      <c r="I125" s="10">
        <v>20</v>
      </c>
      <c r="J125" s="6" t="s">
        <v>442</v>
      </c>
      <c r="K125" s="6" t="s">
        <v>439</v>
      </c>
      <c r="L125" s="6" t="s">
        <v>49</v>
      </c>
      <c r="M125" s="6" t="s">
        <v>49</v>
      </c>
    </row>
    <row r="126" ht="14.4" spans="1:13">
      <c r="A126" s="6" t="s">
        <v>624</v>
      </c>
      <c r="B126" s="6" t="s">
        <v>545</v>
      </c>
      <c r="C126" s="6" t="s">
        <v>20</v>
      </c>
      <c r="D126" s="6" t="s">
        <v>49</v>
      </c>
      <c r="E126" s="6" t="s">
        <v>49</v>
      </c>
      <c r="F126" s="6" t="s">
        <v>49</v>
      </c>
      <c r="G126" s="6" t="s">
        <v>441</v>
      </c>
      <c r="H126" s="10">
        <v>30</v>
      </c>
      <c r="I126" s="10">
        <v>20</v>
      </c>
      <c r="J126" s="6" t="s">
        <v>442</v>
      </c>
      <c r="K126" s="6" t="s">
        <v>439</v>
      </c>
      <c r="L126" s="6" t="s">
        <v>49</v>
      </c>
      <c r="M126" s="6" t="s">
        <v>49</v>
      </c>
    </row>
    <row r="127" ht="14.4" spans="1:13">
      <c r="A127" s="6" t="s">
        <v>625</v>
      </c>
      <c r="B127" s="6" t="s">
        <v>626</v>
      </c>
      <c r="C127" s="6" t="s">
        <v>21</v>
      </c>
      <c r="D127" s="6" t="s">
        <v>49</v>
      </c>
      <c r="E127" s="6" t="s">
        <v>49</v>
      </c>
      <c r="F127" s="6" t="s">
        <v>49</v>
      </c>
      <c r="G127" s="6" t="s">
        <v>437</v>
      </c>
      <c r="H127" s="10">
        <v>80</v>
      </c>
      <c r="I127" s="10">
        <v>15</v>
      </c>
      <c r="J127" s="6" t="s">
        <v>438</v>
      </c>
      <c r="K127" s="6" t="s">
        <v>439</v>
      </c>
      <c r="L127" s="6" t="s">
        <v>49</v>
      </c>
      <c r="M127" s="6" t="s">
        <v>49</v>
      </c>
    </row>
    <row r="128" ht="14.4" spans="1:13">
      <c r="A128" s="6" t="s">
        <v>627</v>
      </c>
      <c r="B128" s="6" t="s">
        <v>628</v>
      </c>
      <c r="C128" s="6" t="s">
        <v>21</v>
      </c>
      <c r="D128" s="6" t="s">
        <v>49</v>
      </c>
      <c r="E128" s="6" t="s">
        <v>49</v>
      </c>
      <c r="F128" s="6" t="s">
        <v>49</v>
      </c>
      <c r="G128" s="6" t="s">
        <v>437</v>
      </c>
      <c r="H128" s="10">
        <v>80</v>
      </c>
      <c r="I128" s="10">
        <v>15</v>
      </c>
      <c r="J128" s="6" t="s">
        <v>438</v>
      </c>
      <c r="K128" s="6" t="s">
        <v>439</v>
      </c>
      <c r="L128" s="6" t="s">
        <v>49</v>
      </c>
      <c r="M128" s="6" t="s">
        <v>49</v>
      </c>
    </row>
    <row r="129" ht="14.4" spans="1:13">
      <c r="A129" s="6" t="s">
        <v>629</v>
      </c>
      <c r="B129" s="6" t="s">
        <v>605</v>
      </c>
      <c r="C129" s="6" t="s">
        <v>21</v>
      </c>
      <c r="D129" s="6" t="s">
        <v>49</v>
      </c>
      <c r="E129" s="6" t="s">
        <v>49</v>
      </c>
      <c r="F129" s="6" t="s">
        <v>49</v>
      </c>
      <c r="G129" s="6" t="s">
        <v>437</v>
      </c>
      <c r="H129" s="10">
        <v>80</v>
      </c>
      <c r="I129" s="10">
        <v>15</v>
      </c>
      <c r="J129" s="6" t="s">
        <v>438</v>
      </c>
      <c r="K129" s="6" t="s">
        <v>439</v>
      </c>
      <c r="L129" s="6" t="s">
        <v>49</v>
      </c>
      <c r="M129" s="6" t="s">
        <v>49</v>
      </c>
    </row>
    <row r="130" ht="14.4" spans="1:13">
      <c r="A130" s="6" t="s">
        <v>630</v>
      </c>
      <c r="B130" s="6" t="s">
        <v>607</v>
      </c>
      <c r="C130" s="6" t="s">
        <v>20</v>
      </c>
      <c r="D130" s="6" t="s">
        <v>49</v>
      </c>
      <c r="E130" s="6" t="s">
        <v>49</v>
      </c>
      <c r="F130" s="6" t="s">
        <v>49</v>
      </c>
      <c r="G130" s="6" t="s">
        <v>441</v>
      </c>
      <c r="H130" s="10">
        <v>30</v>
      </c>
      <c r="I130" s="10">
        <v>20</v>
      </c>
      <c r="J130" s="6" t="s">
        <v>442</v>
      </c>
      <c r="K130" s="6" t="s">
        <v>439</v>
      </c>
      <c r="L130" s="6" t="s">
        <v>49</v>
      </c>
      <c r="M130" s="6" t="s">
        <v>49</v>
      </c>
    </row>
    <row r="131" ht="14.4" spans="1:13">
      <c r="A131" s="6" t="s">
        <v>631</v>
      </c>
      <c r="B131" s="6" t="s">
        <v>632</v>
      </c>
      <c r="C131" s="6" t="s">
        <v>21</v>
      </c>
      <c r="D131" s="6" t="s">
        <v>49</v>
      </c>
      <c r="E131" s="6" t="s">
        <v>49</v>
      </c>
      <c r="F131" s="6" t="s">
        <v>49</v>
      </c>
      <c r="G131" s="6" t="s">
        <v>437</v>
      </c>
      <c r="H131" s="10">
        <v>80</v>
      </c>
      <c r="I131" s="10">
        <v>15</v>
      </c>
      <c r="J131" s="6" t="s">
        <v>438</v>
      </c>
      <c r="K131" s="6" t="s">
        <v>439</v>
      </c>
      <c r="L131" s="6" t="s">
        <v>49</v>
      </c>
      <c r="M131" s="6" t="s">
        <v>49</v>
      </c>
    </row>
    <row r="132" ht="14.4" spans="1:13">
      <c r="A132" s="6" t="s">
        <v>633</v>
      </c>
      <c r="B132" s="6" t="s">
        <v>564</v>
      </c>
      <c r="C132" s="6" t="s">
        <v>20</v>
      </c>
      <c r="D132" s="6" t="s">
        <v>49</v>
      </c>
      <c r="E132" s="6" t="s">
        <v>49</v>
      </c>
      <c r="F132" s="6" t="s">
        <v>49</v>
      </c>
      <c r="G132" s="6" t="s">
        <v>441</v>
      </c>
      <c r="H132" s="10">
        <v>30</v>
      </c>
      <c r="I132" s="10">
        <v>20</v>
      </c>
      <c r="J132" s="6" t="s">
        <v>442</v>
      </c>
      <c r="K132" s="6" t="s">
        <v>439</v>
      </c>
      <c r="L132" s="6" t="s">
        <v>49</v>
      </c>
      <c r="M132" s="6" t="s">
        <v>49</v>
      </c>
    </row>
    <row r="133" ht="14.4" spans="1:13">
      <c r="A133" s="6" t="s">
        <v>634</v>
      </c>
      <c r="B133" s="6" t="s">
        <v>545</v>
      </c>
      <c r="C133" s="6" t="s">
        <v>20</v>
      </c>
      <c r="D133" s="6" t="s">
        <v>49</v>
      </c>
      <c r="E133" s="6" t="s">
        <v>49</v>
      </c>
      <c r="F133" s="6" t="s">
        <v>49</v>
      </c>
      <c r="G133" s="6" t="s">
        <v>441</v>
      </c>
      <c r="H133" s="10">
        <v>30</v>
      </c>
      <c r="I133" s="10">
        <v>20</v>
      </c>
      <c r="J133" s="6" t="s">
        <v>442</v>
      </c>
      <c r="K133" s="6" t="s">
        <v>439</v>
      </c>
      <c r="L133" s="6" t="s">
        <v>49</v>
      </c>
      <c r="M133" s="6" t="s">
        <v>49</v>
      </c>
    </row>
    <row r="134" ht="14.4" spans="1:13">
      <c r="A134" s="6" t="s">
        <v>635</v>
      </c>
      <c r="B134" s="6" t="s">
        <v>636</v>
      </c>
      <c r="C134" s="6" t="s">
        <v>21</v>
      </c>
      <c r="D134" s="6" t="s">
        <v>49</v>
      </c>
      <c r="E134" s="6" t="s">
        <v>49</v>
      </c>
      <c r="F134" s="6" t="s">
        <v>49</v>
      </c>
      <c r="G134" s="6" t="s">
        <v>437</v>
      </c>
      <c r="H134" s="10">
        <v>80</v>
      </c>
      <c r="I134" s="10">
        <v>15</v>
      </c>
      <c r="J134" s="6" t="s">
        <v>438</v>
      </c>
      <c r="K134" s="6" t="s">
        <v>439</v>
      </c>
      <c r="L134" s="6" t="s">
        <v>49</v>
      </c>
      <c r="M134" s="6" t="s">
        <v>49</v>
      </c>
    </row>
    <row r="135" ht="14.4" spans="1:13">
      <c r="A135" s="6" t="s">
        <v>637</v>
      </c>
      <c r="B135" s="6" t="s">
        <v>638</v>
      </c>
      <c r="C135" s="6" t="s">
        <v>21</v>
      </c>
      <c r="D135" s="6" t="s">
        <v>49</v>
      </c>
      <c r="E135" s="6" t="s">
        <v>49</v>
      </c>
      <c r="F135" s="6" t="s">
        <v>49</v>
      </c>
      <c r="G135" s="6" t="s">
        <v>437</v>
      </c>
      <c r="H135" s="10">
        <v>80</v>
      </c>
      <c r="I135" s="10">
        <v>15</v>
      </c>
      <c r="J135" s="6" t="s">
        <v>438</v>
      </c>
      <c r="K135" s="6" t="s">
        <v>439</v>
      </c>
      <c r="L135" s="6" t="s">
        <v>49</v>
      </c>
      <c r="M135" s="6" t="s">
        <v>49</v>
      </c>
    </row>
    <row r="136" ht="14.4" spans="1:13">
      <c r="A136" s="6" t="s">
        <v>639</v>
      </c>
      <c r="B136" s="6" t="s">
        <v>605</v>
      </c>
      <c r="C136" s="6" t="s">
        <v>21</v>
      </c>
      <c r="D136" s="6" t="s">
        <v>49</v>
      </c>
      <c r="E136" s="6" t="s">
        <v>49</v>
      </c>
      <c r="F136" s="6" t="s">
        <v>49</v>
      </c>
      <c r="G136" s="6" t="s">
        <v>437</v>
      </c>
      <c r="H136" s="10">
        <v>80</v>
      </c>
      <c r="I136" s="10">
        <v>15</v>
      </c>
      <c r="J136" s="6" t="s">
        <v>438</v>
      </c>
      <c r="K136" s="6" t="s">
        <v>439</v>
      </c>
      <c r="L136" s="6" t="s">
        <v>49</v>
      </c>
      <c r="M136" s="6" t="s">
        <v>49</v>
      </c>
    </row>
    <row r="137" ht="14.4" spans="1:13">
      <c r="A137" s="6" t="s">
        <v>640</v>
      </c>
      <c r="B137" s="6" t="s">
        <v>607</v>
      </c>
      <c r="C137" s="6" t="s">
        <v>20</v>
      </c>
      <c r="D137" s="6" t="s">
        <v>49</v>
      </c>
      <c r="E137" s="6" t="s">
        <v>49</v>
      </c>
      <c r="F137" s="6" t="s">
        <v>49</v>
      </c>
      <c r="G137" s="6" t="s">
        <v>441</v>
      </c>
      <c r="H137" s="10">
        <v>30</v>
      </c>
      <c r="I137" s="10">
        <v>20</v>
      </c>
      <c r="J137" s="6" t="s">
        <v>442</v>
      </c>
      <c r="K137" s="6" t="s">
        <v>439</v>
      </c>
      <c r="L137" s="6" t="s">
        <v>49</v>
      </c>
      <c r="M137" s="6" t="s">
        <v>49</v>
      </c>
    </row>
    <row r="138" ht="14.4" spans="1:13">
      <c r="A138" s="6" t="s">
        <v>641</v>
      </c>
      <c r="B138" s="6" t="s">
        <v>605</v>
      </c>
      <c r="C138" s="6" t="s">
        <v>21</v>
      </c>
      <c r="D138" s="6" t="s">
        <v>49</v>
      </c>
      <c r="E138" s="6" t="s">
        <v>49</v>
      </c>
      <c r="F138" s="6" t="s">
        <v>49</v>
      </c>
      <c r="G138" s="6" t="s">
        <v>437</v>
      </c>
      <c r="H138" s="10">
        <v>80</v>
      </c>
      <c r="I138" s="10">
        <v>15</v>
      </c>
      <c r="J138" s="6" t="s">
        <v>438</v>
      </c>
      <c r="K138" s="6" t="s">
        <v>439</v>
      </c>
      <c r="L138" s="6" t="s">
        <v>49</v>
      </c>
      <c r="M138" s="6" t="s">
        <v>49</v>
      </c>
    </row>
    <row r="139" ht="14.4" spans="1:13">
      <c r="A139" s="6" t="s">
        <v>642</v>
      </c>
      <c r="B139" s="6" t="s">
        <v>564</v>
      </c>
      <c r="C139" s="6" t="s">
        <v>20</v>
      </c>
      <c r="D139" s="6" t="s">
        <v>49</v>
      </c>
      <c r="E139" s="6" t="s">
        <v>49</v>
      </c>
      <c r="F139" s="6" t="s">
        <v>49</v>
      </c>
      <c r="G139" s="6" t="s">
        <v>441</v>
      </c>
      <c r="H139" s="10">
        <v>30</v>
      </c>
      <c r="I139" s="10">
        <v>20</v>
      </c>
      <c r="J139" s="6" t="s">
        <v>442</v>
      </c>
      <c r="K139" s="6" t="s">
        <v>439</v>
      </c>
      <c r="L139" s="6" t="s">
        <v>49</v>
      </c>
      <c r="M139" s="6" t="s">
        <v>49</v>
      </c>
    </row>
    <row r="140" ht="14.4" spans="1:13">
      <c r="A140" s="6" t="s">
        <v>643</v>
      </c>
      <c r="B140" s="6" t="s">
        <v>545</v>
      </c>
      <c r="C140" s="6" t="s">
        <v>20</v>
      </c>
      <c r="D140" s="6" t="s">
        <v>49</v>
      </c>
      <c r="E140" s="6" t="s">
        <v>49</v>
      </c>
      <c r="F140" s="6" t="s">
        <v>49</v>
      </c>
      <c r="G140" s="6" t="s">
        <v>441</v>
      </c>
      <c r="H140" s="10">
        <v>30</v>
      </c>
      <c r="I140" s="10">
        <v>20</v>
      </c>
      <c r="J140" s="6" t="s">
        <v>442</v>
      </c>
      <c r="K140" s="6" t="s">
        <v>439</v>
      </c>
      <c r="L140" s="6" t="s">
        <v>49</v>
      </c>
      <c r="M140" s="6" t="s">
        <v>49</v>
      </c>
    </row>
    <row r="141" ht="14.4" spans="1:13">
      <c r="A141" s="6" t="s">
        <v>644</v>
      </c>
      <c r="B141" s="6" t="s">
        <v>645</v>
      </c>
      <c r="C141" s="6" t="s">
        <v>21</v>
      </c>
      <c r="D141" s="6" t="s">
        <v>49</v>
      </c>
      <c r="E141" s="6" t="s">
        <v>49</v>
      </c>
      <c r="F141" s="6" t="s">
        <v>49</v>
      </c>
      <c r="G141" s="6" t="s">
        <v>437</v>
      </c>
      <c r="H141" s="10">
        <v>80</v>
      </c>
      <c r="I141" s="10">
        <v>15</v>
      </c>
      <c r="J141" s="6" t="s">
        <v>438</v>
      </c>
      <c r="K141" s="6" t="s">
        <v>439</v>
      </c>
      <c r="L141" s="6" t="s">
        <v>49</v>
      </c>
      <c r="M141" s="6" t="s">
        <v>49</v>
      </c>
    </row>
    <row r="142" ht="14.4" spans="1:13">
      <c r="A142" s="6" t="s">
        <v>646</v>
      </c>
      <c r="B142" s="6" t="s">
        <v>647</v>
      </c>
      <c r="C142" s="6" t="s">
        <v>21</v>
      </c>
      <c r="D142" s="6" t="s">
        <v>49</v>
      </c>
      <c r="E142" s="6" t="s">
        <v>49</v>
      </c>
      <c r="F142" s="6" t="s">
        <v>49</v>
      </c>
      <c r="G142" s="6" t="s">
        <v>437</v>
      </c>
      <c r="H142" s="10">
        <v>80</v>
      </c>
      <c r="I142" s="10">
        <v>15</v>
      </c>
      <c r="J142" s="6" t="s">
        <v>438</v>
      </c>
      <c r="K142" s="6" t="s">
        <v>439</v>
      </c>
      <c r="L142" s="6" t="s">
        <v>49</v>
      </c>
      <c r="M142" s="6" t="s">
        <v>49</v>
      </c>
    </row>
    <row r="143" ht="14.4" spans="1:13">
      <c r="A143" s="6" t="s">
        <v>648</v>
      </c>
      <c r="B143" s="6" t="s">
        <v>605</v>
      </c>
      <c r="C143" s="6" t="s">
        <v>21</v>
      </c>
      <c r="D143" s="6" t="s">
        <v>49</v>
      </c>
      <c r="E143" s="6" t="s">
        <v>49</v>
      </c>
      <c r="F143" s="6" t="s">
        <v>49</v>
      </c>
      <c r="G143" s="6" t="s">
        <v>437</v>
      </c>
      <c r="H143" s="10">
        <v>80</v>
      </c>
      <c r="I143" s="10">
        <v>15</v>
      </c>
      <c r="J143" s="6" t="s">
        <v>438</v>
      </c>
      <c r="K143" s="6" t="s">
        <v>439</v>
      </c>
      <c r="L143" s="6" t="s">
        <v>49</v>
      </c>
      <c r="M143" s="6" t="s">
        <v>49</v>
      </c>
    </row>
    <row r="144" ht="14.4" spans="1:13">
      <c r="A144" s="6" t="s">
        <v>649</v>
      </c>
      <c r="B144" s="6" t="s">
        <v>607</v>
      </c>
      <c r="C144" s="6" t="s">
        <v>20</v>
      </c>
      <c r="D144" s="6" t="s">
        <v>49</v>
      </c>
      <c r="E144" s="6" t="s">
        <v>49</v>
      </c>
      <c r="F144" s="6" t="s">
        <v>49</v>
      </c>
      <c r="G144" s="6" t="s">
        <v>441</v>
      </c>
      <c r="H144" s="10">
        <v>30</v>
      </c>
      <c r="I144" s="10">
        <v>20</v>
      </c>
      <c r="J144" s="6" t="s">
        <v>442</v>
      </c>
      <c r="K144" s="6" t="s">
        <v>439</v>
      </c>
      <c r="L144" s="6" t="s">
        <v>49</v>
      </c>
      <c r="M144" s="6" t="s">
        <v>49</v>
      </c>
    </row>
    <row r="145" ht="14.4" spans="1:13">
      <c r="A145" s="6" t="s">
        <v>650</v>
      </c>
      <c r="B145" s="6" t="s">
        <v>605</v>
      </c>
      <c r="C145" s="6" t="s">
        <v>21</v>
      </c>
      <c r="D145" s="6" t="s">
        <v>49</v>
      </c>
      <c r="E145" s="6" t="s">
        <v>49</v>
      </c>
      <c r="F145" s="6" t="s">
        <v>49</v>
      </c>
      <c r="G145" s="6" t="s">
        <v>437</v>
      </c>
      <c r="H145" s="10">
        <v>80</v>
      </c>
      <c r="I145" s="10">
        <v>15</v>
      </c>
      <c r="J145" s="6" t="s">
        <v>438</v>
      </c>
      <c r="K145" s="6" t="s">
        <v>439</v>
      </c>
      <c r="L145" s="6" t="s">
        <v>49</v>
      </c>
      <c r="M145" s="6" t="s">
        <v>49</v>
      </c>
    </row>
    <row r="146" ht="14.4" spans="1:13">
      <c r="A146" s="6" t="s">
        <v>651</v>
      </c>
      <c r="B146" s="6" t="s">
        <v>564</v>
      </c>
      <c r="C146" s="6" t="s">
        <v>20</v>
      </c>
      <c r="D146" s="6" t="s">
        <v>49</v>
      </c>
      <c r="E146" s="6" t="s">
        <v>49</v>
      </c>
      <c r="F146" s="6" t="s">
        <v>49</v>
      </c>
      <c r="G146" s="6" t="s">
        <v>441</v>
      </c>
      <c r="H146" s="10">
        <v>30</v>
      </c>
      <c r="I146" s="10">
        <v>20</v>
      </c>
      <c r="J146" s="6" t="s">
        <v>442</v>
      </c>
      <c r="K146" s="6" t="s">
        <v>439</v>
      </c>
      <c r="L146" s="6" t="s">
        <v>49</v>
      </c>
      <c r="M146" s="6" t="s">
        <v>49</v>
      </c>
    </row>
    <row r="147" ht="14.4" spans="1:13">
      <c r="A147" s="6" t="s">
        <v>652</v>
      </c>
      <c r="B147" s="6" t="s">
        <v>545</v>
      </c>
      <c r="C147" s="6" t="s">
        <v>20</v>
      </c>
      <c r="D147" s="6" t="s">
        <v>49</v>
      </c>
      <c r="E147" s="6" t="s">
        <v>49</v>
      </c>
      <c r="F147" s="6" t="s">
        <v>49</v>
      </c>
      <c r="G147" s="6" t="s">
        <v>441</v>
      </c>
      <c r="H147" s="10">
        <v>30</v>
      </c>
      <c r="I147" s="10">
        <v>20</v>
      </c>
      <c r="J147" s="6" t="s">
        <v>442</v>
      </c>
      <c r="K147" s="6" t="s">
        <v>439</v>
      </c>
      <c r="L147" s="6" t="s">
        <v>49</v>
      </c>
      <c r="M147" s="6" t="s">
        <v>49</v>
      </c>
    </row>
    <row r="148" ht="14.4" spans="1:13">
      <c r="A148" s="6" t="s">
        <v>653</v>
      </c>
      <c r="B148" s="6" t="s">
        <v>654</v>
      </c>
      <c r="C148" s="6" t="s">
        <v>21</v>
      </c>
      <c r="D148" s="6" t="s">
        <v>49</v>
      </c>
      <c r="E148" s="6" t="s">
        <v>49</v>
      </c>
      <c r="F148" s="6" t="s">
        <v>49</v>
      </c>
      <c r="G148" s="6" t="s">
        <v>437</v>
      </c>
      <c r="H148" s="10">
        <v>80</v>
      </c>
      <c r="I148" s="10">
        <v>15</v>
      </c>
      <c r="J148" s="6" t="s">
        <v>438</v>
      </c>
      <c r="K148" s="6" t="s">
        <v>439</v>
      </c>
      <c r="L148" s="6" t="s">
        <v>49</v>
      </c>
      <c r="M148" s="6" t="s">
        <v>49</v>
      </c>
    </row>
    <row r="149" ht="14.4" spans="1:13">
      <c r="A149" s="6" t="s">
        <v>655</v>
      </c>
      <c r="B149" s="6" t="s">
        <v>656</v>
      </c>
      <c r="C149" s="6" t="s">
        <v>21</v>
      </c>
      <c r="D149" s="6" t="s">
        <v>49</v>
      </c>
      <c r="E149" s="6" t="s">
        <v>49</v>
      </c>
      <c r="F149" s="6" t="s">
        <v>49</v>
      </c>
      <c r="G149" s="6" t="s">
        <v>437</v>
      </c>
      <c r="H149" s="10">
        <v>80</v>
      </c>
      <c r="I149" s="10">
        <v>15</v>
      </c>
      <c r="J149" s="6" t="s">
        <v>438</v>
      </c>
      <c r="K149" s="6" t="s">
        <v>439</v>
      </c>
      <c r="L149" s="6" t="s">
        <v>49</v>
      </c>
      <c r="M149" s="6" t="s">
        <v>49</v>
      </c>
    </row>
    <row r="150" ht="14.4" spans="1:13">
      <c r="A150" s="6" t="s">
        <v>657</v>
      </c>
      <c r="B150" s="6" t="s">
        <v>541</v>
      </c>
      <c r="C150" s="6" t="s">
        <v>21</v>
      </c>
      <c r="D150" s="6" t="s">
        <v>49</v>
      </c>
      <c r="E150" s="6" t="s">
        <v>49</v>
      </c>
      <c r="F150" s="6" t="s">
        <v>49</v>
      </c>
      <c r="G150" s="6" t="s">
        <v>437</v>
      </c>
      <c r="H150" s="10">
        <v>80</v>
      </c>
      <c r="I150" s="10">
        <v>15</v>
      </c>
      <c r="J150" s="6" t="s">
        <v>438</v>
      </c>
      <c r="K150" s="6" t="s">
        <v>439</v>
      </c>
      <c r="L150" s="6" t="s">
        <v>49</v>
      </c>
      <c r="M150" s="6" t="s">
        <v>49</v>
      </c>
    </row>
    <row r="151" ht="14.4" spans="1:13">
      <c r="A151" s="6" t="s">
        <v>658</v>
      </c>
      <c r="B151" s="6" t="s">
        <v>543</v>
      </c>
      <c r="C151" s="6" t="s">
        <v>20</v>
      </c>
      <c r="D151" s="6" t="s">
        <v>49</v>
      </c>
      <c r="E151" s="6" t="s">
        <v>49</v>
      </c>
      <c r="F151" s="6" t="s">
        <v>49</v>
      </c>
      <c r="G151" s="6" t="s">
        <v>441</v>
      </c>
      <c r="H151" s="10">
        <v>30</v>
      </c>
      <c r="I151" s="10">
        <v>20</v>
      </c>
      <c r="J151" s="6" t="s">
        <v>442</v>
      </c>
      <c r="K151" s="6" t="s">
        <v>439</v>
      </c>
      <c r="L151" s="6" t="s">
        <v>49</v>
      </c>
      <c r="M151" s="6" t="s">
        <v>49</v>
      </c>
    </row>
    <row r="152" ht="14.4" spans="1:13">
      <c r="A152" s="6" t="s">
        <v>659</v>
      </c>
      <c r="B152" s="6" t="s">
        <v>545</v>
      </c>
      <c r="C152" s="6" t="s">
        <v>20</v>
      </c>
      <c r="D152" s="6" t="s">
        <v>49</v>
      </c>
      <c r="E152" s="6" t="s">
        <v>49</v>
      </c>
      <c r="F152" s="6" t="s">
        <v>49</v>
      </c>
      <c r="G152" s="6" t="s">
        <v>441</v>
      </c>
      <c r="H152" s="10">
        <v>30</v>
      </c>
      <c r="I152" s="10">
        <v>20</v>
      </c>
      <c r="J152" s="6" t="s">
        <v>442</v>
      </c>
      <c r="K152" s="6" t="s">
        <v>439</v>
      </c>
      <c r="L152" s="6" t="s">
        <v>49</v>
      </c>
      <c r="M152" s="6" t="s">
        <v>49</v>
      </c>
    </row>
    <row r="153" ht="14.4" spans="1:13">
      <c r="A153" s="6" t="s">
        <v>660</v>
      </c>
      <c r="B153" s="6" t="s">
        <v>661</v>
      </c>
      <c r="C153" s="6" t="s">
        <v>21</v>
      </c>
      <c r="D153" s="6" t="s">
        <v>49</v>
      </c>
      <c r="E153" s="6" t="s">
        <v>49</v>
      </c>
      <c r="F153" s="6" t="s">
        <v>49</v>
      </c>
      <c r="G153" s="6" t="s">
        <v>437</v>
      </c>
      <c r="H153" s="10">
        <v>80</v>
      </c>
      <c r="I153" s="10">
        <v>15</v>
      </c>
      <c r="J153" s="6" t="s">
        <v>438</v>
      </c>
      <c r="K153" s="6" t="s">
        <v>439</v>
      </c>
      <c r="L153" s="6" t="s">
        <v>49</v>
      </c>
      <c r="M153" s="6" t="s">
        <v>49</v>
      </c>
    </row>
    <row r="154" ht="14.4" spans="1:13">
      <c r="A154" s="6" t="s">
        <v>662</v>
      </c>
      <c r="B154" s="6" t="s">
        <v>663</v>
      </c>
      <c r="C154" s="6" t="s">
        <v>21</v>
      </c>
      <c r="D154" s="6" t="s">
        <v>49</v>
      </c>
      <c r="E154" s="6" t="s">
        <v>49</v>
      </c>
      <c r="F154" s="6" t="s">
        <v>49</v>
      </c>
      <c r="G154" s="6" t="s">
        <v>437</v>
      </c>
      <c r="H154" s="10">
        <v>80</v>
      </c>
      <c r="I154" s="10">
        <v>15</v>
      </c>
      <c r="J154" s="6" t="s">
        <v>438</v>
      </c>
      <c r="K154" s="6" t="s">
        <v>439</v>
      </c>
      <c r="L154" s="6" t="s">
        <v>49</v>
      </c>
      <c r="M154" s="6" t="s">
        <v>49</v>
      </c>
    </row>
    <row r="155" ht="14.4" spans="1:13">
      <c r="A155" s="6" t="s">
        <v>664</v>
      </c>
      <c r="B155" s="6" t="s">
        <v>541</v>
      </c>
      <c r="C155" s="6" t="s">
        <v>21</v>
      </c>
      <c r="D155" s="6" t="s">
        <v>49</v>
      </c>
      <c r="E155" s="6" t="s">
        <v>49</v>
      </c>
      <c r="F155" s="6" t="s">
        <v>49</v>
      </c>
      <c r="G155" s="6" t="s">
        <v>437</v>
      </c>
      <c r="H155" s="10">
        <v>80</v>
      </c>
      <c r="I155" s="10">
        <v>15</v>
      </c>
      <c r="J155" s="6" t="s">
        <v>438</v>
      </c>
      <c r="K155" s="6" t="s">
        <v>439</v>
      </c>
      <c r="L155" s="6" t="s">
        <v>49</v>
      </c>
      <c r="M155" s="6" t="s">
        <v>49</v>
      </c>
    </row>
    <row r="156" ht="14.4" spans="1:13">
      <c r="A156" s="6" t="s">
        <v>665</v>
      </c>
      <c r="B156" s="6" t="s">
        <v>543</v>
      </c>
      <c r="C156" s="6" t="s">
        <v>20</v>
      </c>
      <c r="D156" s="6" t="s">
        <v>49</v>
      </c>
      <c r="E156" s="6" t="s">
        <v>49</v>
      </c>
      <c r="F156" s="6" t="s">
        <v>49</v>
      </c>
      <c r="G156" s="6" t="s">
        <v>441</v>
      </c>
      <c r="H156" s="10">
        <v>30</v>
      </c>
      <c r="I156" s="10">
        <v>20</v>
      </c>
      <c r="J156" s="6" t="s">
        <v>442</v>
      </c>
      <c r="K156" s="6" t="s">
        <v>439</v>
      </c>
      <c r="L156" s="6" t="s">
        <v>49</v>
      </c>
      <c r="M156" s="6" t="s">
        <v>49</v>
      </c>
    </row>
    <row r="157" ht="14.4" spans="1:13">
      <c r="A157" s="6" t="s">
        <v>666</v>
      </c>
      <c r="B157" s="6" t="s">
        <v>545</v>
      </c>
      <c r="C157" s="6" t="s">
        <v>20</v>
      </c>
      <c r="D157" s="6" t="s">
        <v>49</v>
      </c>
      <c r="E157" s="6" t="s">
        <v>49</v>
      </c>
      <c r="F157" s="6" t="s">
        <v>49</v>
      </c>
      <c r="G157" s="6" t="s">
        <v>441</v>
      </c>
      <c r="H157" s="10">
        <v>30</v>
      </c>
      <c r="I157" s="10">
        <v>20</v>
      </c>
      <c r="J157" s="6" t="s">
        <v>442</v>
      </c>
      <c r="K157" s="6" t="s">
        <v>439</v>
      </c>
      <c r="L157" s="6" t="s">
        <v>49</v>
      </c>
      <c r="M157" s="6" t="s">
        <v>49</v>
      </c>
    </row>
    <row r="158" ht="14.4" spans="1:13">
      <c r="A158" s="6" t="s">
        <v>667</v>
      </c>
      <c r="B158" s="6" t="s">
        <v>668</v>
      </c>
      <c r="C158" s="6" t="s">
        <v>21</v>
      </c>
      <c r="D158" s="6" t="s">
        <v>49</v>
      </c>
      <c r="E158" s="6" t="s">
        <v>49</v>
      </c>
      <c r="F158" s="6" t="s">
        <v>49</v>
      </c>
      <c r="G158" s="6" t="s">
        <v>437</v>
      </c>
      <c r="H158" s="10">
        <v>80</v>
      </c>
      <c r="I158" s="10">
        <v>15</v>
      </c>
      <c r="J158" s="6" t="s">
        <v>438</v>
      </c>
      <c r="K158" s="6" t="s">
        <v>439</v>
      </c>
      <c r="L158" s="6" t="s">
        <v>49</v>
      </c>
      <c r="M158" s="6" t="s">
        <v>49</v>
      </c>
    </row>
    <row r="159" ht="14.4" spans="1:13">
      <c r="A159" s="6" t="s">
        <v>669</v>
      </c>
      <c r="B159" s="6" t="s">
        <v>670</v>
      </c>
      <c r="C159" s="6" t="s">
        <v>21</v>
      </c>
      <c r="D159" s="6" t="s">
        <v>49</v>
      </c>
      <c r="E159" s="6" t="s">
        <v>49</v>
      </c>
      <c r="F159" s="6" t="s">
        <v>49</v>
      </c>
      <c r="G159" s="6" t="s">
        <v>437</v>
      </c>
      <c r="H159" s="10">
        <v>80</v>
      </c>
      <c r="I159" s="10">
        <v>15</v>
      </c>
      <c r="J159" s="6" t="s">
        <v>438</v>
      </c>
      <c r="K159" s="6" t="s">
        <v>439</v>
      </c>
      <c r="L159" s="6" t="s">
        <v>49</v>
      </c>
      <c r="M159" s="6" t="s">
        <v>49</v>
      </c>
    </row>
    <row r="160" ht="14.4" spans="1:13">
      <c r="A160" s="6" t="s">
        <v>671</v>
      </c>
      <c r="B160" s="6" t="s">
        <v>672</v>
      </c>
      <c r="C160" s="6" t="s">
        <v>21</v>
      </c>
      <c r="D160" s="6" t="s">
        <v>49</v>
      </c>
      <c r="E160" s="6" t="s">
        <v>49</v>
      </c>
      <c r="F160" s="6" t="s">
        <v>316</v>
      </c>
      <c r="G160" s="6" t="s">
        <v>437</v>
      </c>
      <c r="H160" s="10">
        <v>80</v>
      </c>
      <c r="I160" s="10">
        <v>15</v>
      </c>
      <c r="J160" s="6" t="s">
        <v>438</v>
      </c>
      <c r="K160" s="6" t="s">
        <v>439</v>
      </c>
      <c r="L160" s="6" t="s">
        <v>49</v>
      </c>
      <c r="M160" s="6" t="s">
        <v>49</v>
      </c>
    </row>
    <row r="161" ht="14.4" spans="1:13">
      <c r="A161" s="6" t="s">
        <v>673</v>
      </c>
      <c r="B161" s="6" t="s">
        <v>674</v>
      </c>
      <c r="C161" s="6" t="s">
        <v>21</v>
      </c>
      <c r="D161" s="6" t="s">
        <v>49</v>
      </c>
      <c r="E161" s="6" t="s">
        <v>49</v>
      </c>
      <c r="F161" s="6" t="s">
        <v>316</v>
      </c>
      <c r="G161" s="6" t="s">
        <v>437</v>
      </c>
      <c r="H161" s="10">
        <v>80</v>
      </c>
      <c r="I161" s="10">
        <v>15</v>
      </c>
      <c r="J161" s="6" t="s">
        <v>438</v>
      </c>
      <c r="K161" s="6" t="s">
        <v>439</v>
      </c>
      <c r="L161" s="6" t="s">
        <v>49</v>
      </c>
      <c r="M161" s="6" t="s">
        <v>49</v>
      </c>
    </row>
    <row r="162" ht="14.4" spans="1:13">
      <c r="A162" s="6" t="s">
        <v>675</v>
      </c>
      <c r="B162" s="6" t="s">
        <v>672</v>
      </c>
      <c r="C162" s="6" t="s">
        <v>21</v>
      </c>
      <c r="D162" s="6" t="s">
        <v>49</v>
      </c>
      <c r="E162" s="6" t="s">
        <v>49</v>
      </c>
      <c r="F162" s="6" t="s">
        <v>316</v>
      </c>
      <c r="G162" s="6" t="s">
        <v>437</v>
      </c>
      <c r="H162" s="10">
        <v>80</v>
      </c>
      <c r="I162" s="10">
        <v>15</v>
      </c>
      <c r="J162" s="6" t="s">
        <v>438</v>
      </c>
      <c r="K162" s="6" t="s">
        <v>439</v>
      </c>
      <c r="L162" s="6" t="s">
        <v>49</v>
      </c>
      <c r="M162" s="6" t="s">
        <v>49</v>
      </c>
    </row>
    <row r="163" ht="14.4" spans="1:13">
      <c r="A163" s="6" t="s">
        <v>676</v>
      </c>
      <c r="B163" s="6" t="s">
        <v>672</v>
      </c>
      <c r="C163" s="6" t="s">
        <v>21</v>
      </c>
      <c r="D163" s="6" t="s">
        <v>49</v>
      </c>
      <c r="E163" s="6" t="s">
        <v>49</v>
      </c>
      <c r="F163" s="6" t="s">
        <v>49</v>
      </c>
      <c r="G163" s="6" t="s">
        <v>437</v>
      </c>
      <c r="H163" s="10">
        <v>80</v>
      </c>
      <c r="I163" s="10">
        <v>15</v>
      </c>
      <c r="J163" s="6" t="s">
        <v>438</v>
      </c>
      <c r="K163" s="6" t="s">
        <v>439</v>
      </c>
      <c r="L163" s="6" t="s">
        <v>49</v>
      </c>
      <c r="M163" s="6" t="s">
        <v>49</v>
      </c>
    </row>
    <row r="164" ht="14.4" spans="1:13">
      <c r="A164" s="6" t="s">
        <v>677</v>
      </c>
      <c r="B164" s="6" t="s">
        <v>674</v>
      </c>
      <c r="C164" s="6" t="s">
        <v>21</v>
      </c>
      <c r="D164" s="6" t="s">
        <v>49</v>
      </c>
      <c r="E164" s="6" t="s">
        <v>49</v>
      </c>
      <c r="F164" s="6" t="s">
        <v>49</v>
      </c>
      <c r="G164" s="6" t="s">
        <v>437</v>
      </c>
      <c r="H164" s="10">
        <v>80</v>
      </c>
      <c r="I164" s="10">
        <v>15</v>
      </c>
      <c r="J164" s="6" t="s">
        <v>438</v>
      </c>
      <c r="K164" s="6" t="s">
        <v>439</v>
      </c>
      <c r="L164" s="6" t="s">
        <v>49</v>
      </c>
      <c r="M164" s="6" t="s">
        <v>49</v>
      </c>
    </row>
    <row r="165" ht="14.4" spans="1:13">
      <c r="A165" s="6" t="s">
        <v>678</v>
      </c>
      <c r="B165" s="6" t="s">
        <v>672</v>
      </c>
      <c r="C165" s="6" t="s">
        <v>21</v>
      </c>
      <c r="D165" s="6" t="s">
        <v>49</v>
      </c>
      <c r="E165" s="6" t="s">
        <v>49</v>
      </c>
      <c r="F165" s="6" t="s">
        <v>49</v>
      </c>
      <c r="G165" s="6" t="s">
        <v>437</v>
      </c>
      <c r="H165" s="10">
        <v>80</v>
      </c>
      <c r="I165" s="10">
        <v>15</v>
      </c>
      <c r="J165" s="6" t="s">
        <v>438</v>
      </c>
      <c r="K165" s="6" t="s">
        <v>439</v>
      </c>
      <c r="L165" s="6" t="s">
        <v>49</v>
      </c>
      <c r="M165" s="6" t="s">
        <v>49</v>
      </c>
    </row>
    <row r="166" ht="14.4" spans="1:13">
      <c r="A166" s="6" t="s">
        <v>679</v>
      </c>
      <c r="B166" s="6" t="s">
        <v>672</v>
      </c>
      <c r="C166" s="6" t="s">
        <v>21</v>
      </c>
      <c r="D166" s="6" t="s">
        <v>49</v>
      </c>
      <c r="E166" s="6" t="s">
        <v>49</v>
      </c>
      <c r="F166" s="6" t="s">
        <v>316</v>
      </c>
      <c r="G166" s="6" t="s">
        <v>437</v>
      </c>
      <c r="H166" s="10">
        <v>80</v>
      </c>
      <c r="I166" s="10">
        <v>15</v>
      </c>
      <c r="J166" s="6" t="s">
        <v>438</v>
      </c>
      <c r="K166" s="6" t="s">
        <v>439</v>
      </c>
      <c r="L166" s="6" t="s">
        <v>49</v>
      </c>
      <c r="M166" s="6" t="s">
        <v>49</v>
      </c>
    </row>
    <row r="167" ht="14.4" spans="1:13">
      <c r="A167" s="6" t="s">
        <v>680</v>
      </c>
      <c r="B167" s="6" t="s">
        <v>674</v>
      </c>
      <c r="C167" s="6" t="s">
        <v>21</v>
      </c>
      <c r="D167" s="6" t="s">
        <v>49</v>
      </c>
      <c r="E167" s="6" t="s">
        <v>49</v>
      </c>
      <c r="F167" s="6" t="s">
        <v>316</v>
      </c>
      <c r="G167" s="6" t="s">
        <v>437</v>
      </c>
      <c r="H167" s="10">
        <v>80</v>
      </c>
      <c r="I167" s="10">
        <v>15</v>
      </c>
      <c r="J167" s="6" t="s">
        <v>438</v>
      </c>
      <c r="K167" s="6" t="s">
        <v>439</v>
      </c>
      <c r="L167" s="6" t="s">
        <v>49</v>
      </c>
      <c r="M167" s="6" t="s">
        <v>49</v>
      </c>
    </row>
    <row r="168" ht="14.4" spans="1:13">
      <c r="A168" s="6" t="s">
        <v>681</v>
      </c>
      <c r="B168" s="6" t="s">
        <v>672</v>
      </c>
      <c r="C168" s="6" t="s">
        <v>21</v>
      </c>
      <c r="D168" s="6" t="s">
        <v>49</v>
      </c>
      <c r="E168" s="6" t="s">
        <v>49</v>
      </c>
      <c r="F168" s="6" t="s">
        <v>316</v>
      </c>
      <c r="G168" s="6" t="s">
        <v>437</v>
      </c>
      <c r="H168" s="10">
        <v>80</v>
      </c>
      <c r="I168" s="10">
        <v>15</v>
      </c>
      <c r="J168" s="6" t="s">
        <v>438</v>
      </c>
      <c r="K168" s="6" t="s">
        <v>439</v>
      </c>
      <c r="L168" s="6" t="s">
        <v>49</v>
      </c>
      <c r="M168" s="6" t="s">
        <v>49</v>
      </c>
    </row>
    <row r="169" ht="14.4" spans="1:13">
      <c r="A169" s="6" t="s">
        <v>682</v>
      </c>
      <c r="B169" s="6" t="s">
        <v>672</v>
      </c>
      <c r="C169" s="6" t="s">
        <v>21</v>
      </c>
      <c r="D169" s="6" t="s">
        <v>49</v>
      </c>
      <c r="E169" s="6" t="s">
        <v>49</v>
      </c>
      <c r="F169" s="6" t="s">
        <v>49</v>
      </c>
      <c r="G169" s="6" t="s">
        <v>437</v>
      </c>
      <c r="H169" s="10">
        <v>80</v>
      </c>
      <c r="I169" s="10">
        <v>15</v>
      </c>
      <c r="J169" s="6" t="s">
        <v>438</v>
      </c>
      <c r="K169" s="6" t="s">
        <v>439</v>
      </c>
      <c r="L169" s="6" t="s">
        <v>49</v>
      </c>
      <c r="M169" s="6" t="s">
        <v>49</v>
      </c>
    </row>
    <row r="170" ht="14.4" spans="1:13">
      <c r="A170" s="6" t="s">
        <v>683</v>
      </c>
      <c r="B170" s="6" t="s">
        <v>674</v>
      </c>
      <c r="C170" s="6" t="s">
        <v>21</v>
      </c>
      <c r="D170" s="6" t="s">
        <v>49</v>
      </c>
      <c r="E170" s="6" t="s">
        <v>49</v>
      </c>
      <c r="F170" s="6" t="s">
        <v>49</v>
      </c>
      <c r="G170" s="6" t="s">
        <v>437</v>
      </c>
      <c r="H170" s="10">
        <v>80</v>
      </c>
      <c r="I170" s="10">
        <v>15</v>
      </c>
      <c r="J170" s="6" t="s">
        <v>438</v>
      </c>
      <c r="K170" s="6" t="s">
        <v>439</v>
      </c>
      <c r="L170" s="6" t="s">
        <v>49</v>
      </c>
      <c r="M170" s="6" t="s">
        <v>49</v>
      </c>
    </row>
    <row r="171" ht="14.4" spans="1:13">
      <c r="A171" s="6" t="s">
        <v>684</v>
      </c>
      <c r="B171" s="6" t="s">
        <v>672</v>
      </c>
      <c r="C171" s="6" t="s">
        <v>21</v>
      </c>
      <c r="D171" s="6" t="s">
        <v>49</v>
      </c>
      <c r="E171" s="6" t="s">
        <v>49</v>
      </c>
      <c r="F171" s="6" t="s">
        <v>49</v>
      </c>
      <c r="G171" s="6" t="s">
        <v>437</v>
      </c>
      <c r="H171" s="10">
        <v>80</v>
      </c>
      <c r="I171" s="10">
        <v>15</v>
      </c>
      <c r="J171" s="6" t="s">
        <v>438</v>
      </c>
      <c r="K171" s="6" t="s">
        <v>439</v>
      </c>
      <c r="L171" s="6" t="s">
        <v>49</v>
      </c>
      <c r="M171" s="6" t="s">
        <v>49</v>
      </c>
    </row>
    <row r="172" ht="14.4" spans="1:13">
      <c r="A172" s="6" t="s">
        <v>685</v>
      </c>
      <c r="B172" s="6" t="s">
        <v>672</v>
      </c>
      <c r="C172" s="6" t="s">
        <v>21</v>
      </c>
      <c r="D172" s="6" t="s">
        <v>49</v>
      </c>
      <c r="E172" s="6" t="s">
        <v>49</v>
      </c>
      <c r="F172" s="6" t="s">
        <v>316</v>
      </c>
      <c r="G172" s="6" t="s">
        <v>437</v>
      </c>
      <c r="H172" s="10">
        <v>80</v>
      </c>
      <c r="I172" s="10">
        <v>15</v>
      </c>
      <c r="J172" s="6" t="s">
        <v>438</v>
      </c>
      <c r="K172" s="6" t="s">
        <v>439</v>
      </c>
      <c r="L172" s="6" t="s">
        <v>49</v>
      </c>
      <c r="M172" s="6" t="s">
        <v>49</v>
      </c>
    </row>
    <row r="173" ht="14.4" spans="1:13">
      <c r="A173" s="6" t="s">
        <v>686</v>
      </c>
      <c r="B173" s="6" t="s">
        <v>674</v>
      </c>
      <c r="C173" s="6" t="s">
        <v>21</v>
      </c>
      <c r="D173" s="6" t="s">
        <v>49</v>
      </c>
      <c r="E173" s="6" t="s">
        <v>49</v>
      </c>
      <c r="F173" s="6" t="s">
        <v>316</v>
      </c>
      <c r="G173" s="6" t="s">
        <v>437</v>
      </c>
      <c r="H173" s="10">
        <v>80</v>
      </c>
      <c r="I173" s="10">
        <v>15</v>
      </c>
      <c r="J173" s="6" t="s">
        <v>438</v>
      </c>
      <c r="K173" s="6" t="s">
        <v>439</v>
      </c>
      <c r="L173" s="6" t="s">
        <v>49</v>
      </c>
      <c r="M173" s="6" t="s">
        <v>49</v>
      </c>
    </row>
    <row r="174" ht="14.4" spans="1:13">
      <c r="A174" s="6" t="s">
        <v>687</v>
      </c>
      <c r="B174" s="6" t="s">
        <v>672</v>
      </c>
      <c r="C174" s="6" t="s">
        <v>21</v>
      </c>
      <c r="D174" s="6" t="s">
        <v>49</v>
      </c>
      <c r="E174" s="6" t="s">
        <v>49</v>
      </c>
      <c r="F174" s="6" t="s">
        <v>316</v>
      </c>
      <c r="G174" s="6" t="s">
        <v>437</v>
      </c>
      <c r="H174" s="10">
        <v>80</v>
      </c>
      <c r="I174" s="10">
        <v>15</v>
      </c>
      <c r="J174" s="6" t="s">
        <v>438</v>
      </c>
      <c r="K174" s="6" t="s">
        <v>439</v>
      </c>
      <c r="L174" s="6" t="s">
        <v>49</v>
      </c>
      <c r="M174" s="6" t="s">
        <v>49</v>
      </c>
    </row>
    <row r="175" ht="14.4" spans="1:13">
      <c r="A175" s="6" t="s">
        <v>688</v>
      </c>
      <c r="B175" s="6" t="s">
        <v>672</v>
      </c>
      <c r="C175" s="6" t="s">
        <v>21</v>
      </c>
      <c r="D175" s="6" t="s">
        <v>49</v>
      </c>
      <c r="E175" s="6" t="s">
        <v>49</v>
      </c>
      <c r="F175" s="6" t="s">
        <v>49</v>
      </c>
      <c r="G175" s="6" t="s">
        <v>437</v>
      </c>
      <c r="H175" s="10">
        <v>80</v>
      </c>
      <c r="I175" s="10">
        <v>15</v>
      </c>
      <c r="J175" s="6" t="s">
        <v>438</v>
      </c>
      <c r="K175" s="6" t="s">
        <v>439</v>
      </c>
      <c r="L175" s="6" t="s">
        <v>49</v>
      </c>
      <c r="M175" s="6" t="s">
        <v>49</v>
      </c>
    </row>
    <row r="176" ht="14.4" spans="1:13">
      <c r="A176" s="6" t="s">
        <v>689</v>
      </c>
      <c r="B176" s="6" t="s">
        <v>674</v>
      </c>
      <c r="C176" s="6" t="s">
        <v>21</v>
      </c>
      <c r="D176" s="6" t="s">
        <v>49</v>
      </c>
      <c r="E176" s="6" t="s">
        <v>49</v>
      </c>
      <c r="F176" s="6" t="s">
        <v>49</v>
      </c>
      <c r="G176" s="6" t="s">
        <v>437</v>
      </c>
      <c r="H176" s="10">
        <v>80</v>
      </c>
      <c r="I176" s="10">
        <v>15</v>
      </c>
      <c r="J176" s="6" t="s">
        <v>438</v>
      </c>
      <c r="K176" s="6" t="s">
        <v>439</v>
      </c>
      <c r="L176" s="6" t="s">
        <v>49</v>
      </c>
      <c r="M176" s="6" t="s">
        <v>49</v>
      </c>
    </row>
    <row r="177" ht="14.4" spans="1:13">
      <c r="A177" s="6" t="s">
        <v>690</v>
      </c>
      <c r="B177" s="6" t="s">
        <v>672</v>
      </c>
      <c r="C177" s="6" t="s">
        <v>21</v>
      </c>
      <c r="D177" s="6" t="s">
        <v>49</v>
      </c>
      <c r="E177" s="6" t="s">
        <v>49</v>
      </c>
      <c r="F177" s="6" t="s">
        <v>49</v>
      </c>
      <c r="G177" s="6" t="s">
        <v>437</v>
      </c>
      <c r="H177" s="10">
        <v>80</v>
      </c>
      <c r="I177" s="10">
        <v>15</v>
      </c>
      <c r="J177" s="6" t="s">
        <v>438</v>
      </c>
      <c r="K177" s="6" t="s">
        <v>439</v>
      </c>
      <c r="L177" s="6" t="s">
        <v>49</v>
      </c>
      <c r="M177" s="6" t="s">
        <v>49</v>
      </c>
    </row>
    <row r="178" ht="14.4" spans="1:13">
      <c r="A178" s="6" t="s">
        <v>691</v>
      </c>
      <c r="B178" s="6" t="s">
        <v>672</v>
      </c>
      <c r="C178" s="6" t="s">
        <v>21</v>
      </c>
      <c r="D178" s="6" t="s">
        <v>49</v>
      </c>
      <c r="E178" s="6" t="s">
        <v>49</v>
      </c>
      <c r="F178" s="6" t="s">
        <v>316</v>
      </c>
      <c r="G178" s="6" t="s">
        <v>437</v>
      </c>
      <c r="H178" s="10">
        <v>80</v>
      </c>
      <c r="I178" s="10">
        <v>15</v>
      </c>
      <c r="J178" s="6" t="s">
        <v>438</v>
      </c>
      <c r="K178" s="6" t="s">
        <v>439</v>
      </c>
      <c r="L178" s="6" t="s">
        <v>49</v>
      </c>
      <c r="M178" s="6" t="s">
        <v>49</v>
      </c>
    </row>
    <row r="179" ht="14.4" spans="1:13">
      <c r="A179" s="6" t="s">
        <v>692</v>
      </c>
      <c r="B179" s="6" t="s">
        <v>674</v>
      </c>
      <c r="C179" s="6" t="s">
        <v>21</v>
      </c>
      <c r="D179" s="6" t="s">
        <v>49</v>
      </c>
      <c r="E179" s="6" t="s">
        <v>49</v>
      </c>
      <c r="F179" s="6" t="s">
        <v>316</v>
      </c>
      <c r="G179" s="6" t="s">
        <v>437</v>
      </c>
      <c r="H179" s="10">
        <v>80</v>
      </c>
      <c r="I179" s="10">
        <v>15</v>
      </c>
      <c r="J179" s="6" t="s">
        <v>438</v>
      </c>
      <c r="K179" s="6" t="s">
        <v>439</v>
      </c>
      <c r="L179" s="6" t="s">
        <v>49</v>
      </c>
      <c r="M179" s="6" t="s">
        <v>49</v>
      </c>
    </row>
    <row r="180" ht="14.4" spans="1:13">
      <c r="A180" s="6" t="s">
        <v>693</v>
      </c>
      <c r="B180" s="6" t="s">
        <v>672</v>
      </c>
      <c r="C180" s="6" t="s">
        <v>21</v>
      </c>
      <c r="D180" s="6" t="s">
        <v>49</v>
      </c>
      <c r="E180" s="6" t="s">
        <v>49</v>
      </c>
      <c r="F180" s="6" t="s">
        <v>316</v>
      </c>
      <c r="G180" s="6" t="s">
        <v>437</v>
      </c>
      <c r="H180" s="10">
        <v>80</v>
      </c>
      <c r="I180" s="10">
        <v>15</v>
      </c>
      <c r="J180" s="6" t="s">
        <v>438</v>
      </c>
      <c r="K180" s="6" t="s">
        <v>439</v>
      </c>
      <c r="L180" s="6" t="s">
        <v>49</v>
      </c>
      <c r="M180" s="6" t="s">
        <v>49</v>
      </c>
    </row>
    <row r="181" ht="14.4" spans="1:13">
      <c r="A181" s="6" t="s">
        <v>694</v>
      </c>
      <c r="B181" s="6" t="s">
        <v>672</v>
      </c>
      <c r="C181" s="6" t="s">
        <v>21</v>
      </c>
      <c r="D181" s="6" t="s">
        <v>49</v>
      </c>
      <c r="E181" s="6" t="s">
        <v>49</v>
      </c>
      <c r="F181" s="6" t="s">
        <v>49</v>
      </c>
      <c r="G181" s="6" t="s">
        <v>437</v>
      </c>
      <c r="H181" s="10">
        <v>80</v>
      </c>
      <c r="I181" s="10">
        <v>15</v>
      </c>
      <c r="J181" s="6" t="s">
        <v>438</v>
      </c>
      <c r="K181" s="6" t="s">
        <v>439</v>
      </c>
      <c r="L181" s="6" t="s">
        <v>49</v>
      </c>
      <c r="M181" s="6" t="s">
        <v>49</v>
      </c>
    </row>
    <row r="182" ht="14.4" spans="1:13">
      <c r="A182" s="6" t="s">
        <v>695</v>
      </c>
      <c r="B182" s="6" t="s">
        <v>674</v>
      </c>
      <c r="C182" s="6" t="s">
        <v>21</v>
      </c>
      <c r="D182" s="6" t="s">
        <v>49</v>
      </c>
      <c r="E182" s="6" t="s">
        <v>49</v>
      </c>
      <c r="F182" s="6" t="s">
        <v>49</v>
      </c>
      <c r="G182" s="6" t="s">
        <v>437</v>
      </c>
      <c r="H182" s="10">
        <v>80</v>
      </c>
      <c r="I182" s="10">
        <v>15</v>
      </c>
      <c r="J182" s="6" t="s">
        <v>438</v>
      </c>
      <c r="K182" s="6" t="s">
        <v>439</v>
      </c>
      <c r="L182" s="6" t="s">
        <v>49</v>
      </c>
      <c r="M182" s="6" t="s">
        <v>49</v>
      </c>
    </row>
    <row r="183" ht="14.4" spans="1:13">
      <c r="A183" s="6" t="s">
        <v>696</v>
      </c>
      <c r="B183" s="6" t="s">
        <v>672</v>
      </c>
      <c r="C183" s="6" t="s">
        <v>21</v>
      </c>
      <c r="D183" s="6" t="s">
        <v>49</v>
      </c>
      <c r="E183" s="6" t="s">
        <v>49</v>
      </c>
      <c r="F183" s="6" t="s">
        <v>49</v>
      </c>
      <c r="G183" s="6" t="s">
        <v>437</v>
      </c>
      <c r="H183" s="10">
        <v>80</v>
      </c>
      <c r="I183" s="10">
        <v>15</v>
      </c>
      <c r="J183" s="6" t="s">
        <v>438</v>
      </c>
      <c r="K183" s="6" t="s">
        <v>439</v>
      </c>
      <c r="L183" s="6" t="s">
        <v>49</v>
      </c>
      <c r="M183" s="6" t="s">
        <v>49</v>
      </c>
    </row>
    <row r="184" ht="14.4" spans="1:13">
      <c r="A184" s="6" t="s">
        <v>697</v>
      </c>
      <c r="B184" s="6" t="s">
        <v>672</v>
      </c>
      <c r="C184" s="6" t="s">
        <v>21</v>
      </c>
      <c r="D184" s="6" t="s">
        <v>49</v>
      </c>
      <c r="E184" s="6" t="s">
        <v>49</v>
      </c>
      <c r="F184" s="6" t="s">
        <v>316</v>
      </c>
      <c r="G184" s="6" t="s">
        <v>437</v>
      </c>
      <c r="H184" s="10">
        <v>80</v>
      </c>
      <c r="I184" s="10">
        <v>15</v>
      </c>
      <c r="J184" s="6" t="s">
        <v>438</v>
      </c>
      <c r="K184" s="6" t="s">
        <v>439</v>
      </c>
      <c r="L184" s="6" t="s">
        <v>49</v>
      </c>
      <c r="M184" s="6" t="s">
        <v>49</v>
      </c>
    </row>
    <row r="185" ht="14.4" spans="1:13">
      <c r="A185" s="6" t="s">
        <v>698</v>
      </c>
      <c r="B185" s="6" t="s">
        <v>674</v>
      </c>
      <c r="C185" s="6" t="s">
        <v>21</v>
      </c>
      <c r="D185" s="6" t="s">
        <v>49</v>
      </c>
      <c r="E185" s="6" t="s">
        <v>49</v>
      </c>
      <c r="F185" s="6" t="s">
        <v>316</v>
      </c>
      <c r="G185" s="6" t="s">
        <v>437</v>
      </c>
      <c r="H185" s="10">
        <v>80</v>
      </c>
      <c r="I185" s="10">
        <v>15</v>
      </c>
      <c r="J185" s="6" t="s">
        <v>438</v>
      </c>
      <c r="K185" s="6" t="s">
        <v>439</v>
      </c>
      <c r="L185" s="6" t="s">
        <v>49</v>
      </c>
      <c r="M185" s="6" t="s">
        <v>49</v>
      </c>
    </row>
    <row r="186" ht="14.4" spans="1:13">
      <c r="A186" s="6" t="s">
        <v>699</v>
      </c>
      <c r="B186" s="6" t="s">
        <v>672</v>
      </c>
      <c r="C186" s="6" t="s">
        <v>21</v>
      </c>
      <c r="D186" s="6" t="s">
        <v>49</v>
      </c>
      <c r="E186" s="6" t="s">
        <v>49</v>
      </c>
      <c r="F186" s="6" t="s">
        <v>316</v>
      </c>
      <c r="G186" s="6" t="s">
        <v>437</v>
      </c>
      <c r="H186" s="10">
        <v>80</v>
      </c>
      <c r="I186" s="10">
        <v>15</v>
      </c>
      <c r="J186" s="6" t="s">
        <v>438</v>
      </c>
      <c r="K186" s="6" t="s">
        <v>439</v>
      </c>
      <c r="L186" s="6" t="s">
        <v>49</v>
      </c>
      <c r="M186" s="6" t="s">
        <v>49</v>
      </c>
    </row>
    <row r="187" ht="14.4" spans="1:13">
      <c r="A187" s="6" t="s">
        <v>700</v>
      </c>
      <c r="B187" s="6" t="s">
        <v>672</v>
      </c>
      <c r="C187" s="6" t="s">
        <v>21</v>
      </c>
      <c r="D187" s="6" t="s">
        <v>49</v>
      </c>
      <c r="E187" s="6" t="s">
        <v>49</v>
      </c>
      <c r="F187" s="6" t="s">
        <v>49</v>
      </c>
      <c r="G187" s="6" t="s">
        <v>437</v>
      </c>
      <c r="H187" s="10">
        <v>80</v>
      </c>
      <c r="I187" s="10">
        <v>15</v>
      </c>
      <c r="J187" s="6" t="s">
        <v>438</v>
      </c>
      <c r="K187" s="6" t="s">
        <v>439</v>
      </c>
      <c r="L187" s="6" t="s">
        <v>49</v>
      </c>
      <c r="M187" s="6" t="s">
        <v>49</v>
      </c>
    </row>
    <row r="188" ht="14.4" spans="1:13">
      <c r="A188" s="6" t="s">
        <v>701</v>
      </c>
      <c r="B188" s="6" t="s">
        <v>674</v>
      </c>
      <c r="C188" s="6" t="s">
        <v>21</v>
      </c>
      <c r="D188" s="6" t="s">
        <v>49</v>
      </c>
      <c r="E188" s="6" t="s">
        <v>49</v>
      </c>
      <c r="F188" s="6" t="s">
        <v>49</v>
      </c>
      <c r="G188" s="6" t="s">
        <v>437</v>
      </c>
      <c r="H188" s="10">
        <v>80</v>
      </c>
      <c r="I188" s="10">
        <v>15</v>
      </c>
      <c r="J188" s="6" t="s">
        <v>438</v>
      </c>
      <c r="K188" s="6" t="s">
        <v>439</v>
      </c>
      <c r="L188" s="6" t="s">
        <v>49</v>
      </c>
      <c r="M188" s="6" t="s">
        <v>49</v>
      </c>
    </row>
    <row r="189" ht="14.4" spans="1:13">
      <c r="A189" s="6" t="s">
        <v>702</v>
      </c>
      <c r="B189" s="6" t="s">
        <v>672</v>
      </c>
      <c r="C189" s="6" t="s">
        <v>21</v>
      </c>
      <c r="D189" s="6" t="s">
        <v>49</v>
      </c>
      <c r="E189" s="6" t="s">
        <v>49</v>
      </c>
      <c r="F189" s="6" t="s">
        <v>49</v>
      </c>
      <c r="G189" s="6" t="s">
        <v>437</v>
      </c>
      <c r="H189" s="10">
        <v>80</v>
      </c>
      <c r="I189" s="10">
        <v>15</v>
      </c>
      <c r="J189" s="6" t="s">
        <v>438</v>
      </c>
      <c r="K189" s="6" t="s">
        <v>439</v>
      </c>
      <c r="L189" s="6" t="s">
        <v>49</v>
      </c>
      <c r="M189" s="6" t="s">
        <v>49</v>
      </c>
    </row>
    <row r="190" ht="14.4" spans="1:13">
      <c r="A190" s="6" t="s">
        <v>703</v>
      </c>
      <c r="B190" s="6" t="s">
        <v>672</v>
      </c>
      <c r="C190" s="6" t="s">
        <v>21</v>
      </c>
      <c r="D190" s="6" t="s">
        <v>49</v>
      </c>
      <c r="E190" s="6" t="s">
        <v>49</v>
      </c>
      <c r="F190" s="6" t="s">
        <v>316</v>
      </c>
      <c r="G190" s="6" t="s">
        <v>437</v>
      </c>
      <c r="H190" s="10">
        <v>80</v>
      </c>
      <c r="I190" s="10">
        <v>15</v>
      </c>
      <c r="J190" s="6" t="s">
        <v>438</v>
      </c>
      <c r="K190" s="6" t="s">
        <v>439</v>
      </c>
      <c r="L190" s="6" t="s">
        <v>49</v>
      </c>
      <c r="M190" s="6" t="s">
        <v>49</v>
      </c>
    </row>
    <row r="191" ht="14.4" spans="1:13">
      <c r="A191" s="6" t="s">
        <v>704</v>
      </c>
      <c r="B191" s="6" t="s">
        <v>674</v>
      </c>
      <c r="C191" s="6" t="s">
        <v>21</v>
      </c>
      <c r="D191" s="6" t="s">
        <v>49</v>
      </c>
      <c r="E191" s="6" t="s">
        <v>49</v>
      </c>
      <c r="F191" s="6" t="s">
        <v>316</v>
      </c>
      <c r="G191" s="6" t="s">
        <v>437</v>
      </c>
      <c r="H191" s="10">
        <v>80</v>
      </c>
      <c r="I191" s="10">
        <v>15</v>
      </c>
      <c r="J191" s="6" t="s">
        <v>438</v>
      </c>
      <c r="K191" s="6" t="s">
        <v>439</v>
      </c>
      <c r="L191" s="6" t="s">
        <v>49</v>
      </c>
      <c r="M191" s="6" t="s">
        <v>49</v>
      </c>
    </row>
    <row r="192" ht="14.4" spans="1:13">
      <c r="A192" s="6" t="s">
        <v>705</v>
      </c>
      <c r="B192" s="6" t="s">
        <v>672</v>
      </c>
      <c r="C192" s="6" t="s">
        <v>21</v>
      </c>
      <c r="D192" s="6" t="s">
        <v>49</v>
      </c>
      <c r="E192" s="6" t="s">
        <v>49</v>
      </c>
      <c r="F192" s="6" t="s">
        <v>316</v>
      </c>
      <c r="G192" s="6" t="s">
        <v>437</v>
      </c>
      <c r="H192" s="10">
        <v>80</v>
      </c>
      <c r="I192" s="10">
        <v>15</v>
      </c>
      <c r="J192" s="6" t="s">
        <v>438</v>
      </c>
      <c r="K192" s="6" t="s">
        <v>439</v>
      </c>
      <c r="L192" s="6" t="s">
        <v>49</v>
      </c>
      <c r="M192" s="6" t="s">
        <v>49</v>
      </c>
    </row>
    <row r="193" ht="14.4" spans="1:13">
      <c r="A193" s="6" t="s">
        <v>706</v>
      </c>
      <c r="B193" s="6" t="s">
        <v>672</v>
      </c>
      <c r="C193" s="6" t="s">
        <v>21</v>
      </c>
      <c r="D193" s="6" t="s">
        <v>49</v>
      </c>
      <c r="E193" s="6" t="s">
        <v>49</v>
      </c>
      <c r="F193" s="6" t="s">
        <v>49</v>
      </c>
      <c r="G193" s="6" t="s">
        <v>437</v>
      </c>
      <c r="H193" s="10">
        <v>80</v>
      </c>
      <c r="I193" s="10">
        <v>15</v>
      </c>
      <c r="J193" s="6" t="s">
        <v>438</v>
      </c>
      <c r="K193" s="6" t="s">
        <v>439</v>
      </c>
      <c r="L193" s="6" t="s">
        <v>49</v>
      </c>
      <c r="M193" s="6" t="s">
        <v>49</v>
      </c>
    </row>
    <row r="194" ht="14.4" spans="1:13">
      <c r="A194" s="6" t="s">
        <v>707</v>
      </c>
      <c r="B194" s="6" t="s">
        <v>674</v>
      </c>
      <c r="C194" s="6" t="s">
        <v>21</v>
      </c>
      <c r="D194" s="6" t="s">
        <v>49</v>
      </c>
      <c r="E194" s="6" t="s">
        <v>49</v>
      </c>
      <c r="F194" s="6" t="s">
        <v>49</v>
      </c>
      <c r="G194" s="6" t="s">
        <v>437</v>
      </c>
      <c r="H194" s="10">
        <v>80</v>
      </c>
      <c r="I194" s="10">
        <v>15</v>
      </c>
      <c r="J194" s="6" t="s">
        <v>438</v>
      </c>
      <c r="K194" s="6" t="s">
        <v>439</v>
      </c>
      <c r="L194" s="6" t="s">
        <v>49</v>
      </c>
      <c r="M194" s="6" t="s">
        <v>49</v>
      </c>
    </row>
    <row r="195" ht="14.4" spans="1:13">
      <c r="A195" s="6" t="s">
        <v>708</v>
      </c>
      <c r="B195" s="6" t="s">
        <v>672</v>
      </c>
      <c r="C195" s="6" t="s">
        <v>21</v>
      </c>
      <c r="D195" s="6" t="s">
        <v>49</v>
      </c>
      <c r="E195" s="6" t="s">
        <v>49</v>
      </c>
      <c r="F195" s="6" t="s">
        <v>49</v>
      </c>
      <c r="G195" s="6" t="s">
        <v>437</v>
      </c>
      <c r="H195" s="10">
        <v>80</v>
      </c>
      <c r="I195" s="10">
        <v>15</v>
      </c>
      <c r="J195" s="6" t="s">
        <v>438</v>
      </c>
      <c r="K195" s="6" t="s">
        <v>439</v>
      </c>
      <c r="L195" s="6" t="s">
        <v>49</v>
      </c>
      <c r="M195" s="6" t="s">
        <v>49</v>
      </c>
    </row>
    <row r="196" ht="14.4" spans="1:13">
      <c r="A196" s="6" t="s">
        <v>709</v>
      </c>
      <c r="B196" s="6" t="s">
        <v>710</v>
      </c>
      <c r="C196" s="6" t="s">
        <v>20</v>
      </c>
      <c r="D196" s="6" t="s">
        <v>49</v>
      </c>
      <c r="E196" s="6" t="s">
        <v>49</v>
      </c>
      <c r="F196" s="6" t="s">
        <v>49</v>
      </c>
      <c r="G196" s="6" t="s">
        <v>441</v>
      </c>
      <c r="H196" s="10">
        <v>30</v>
      </c>
      <c r="I196" s="10">
        <v>20</v>
      </c>
      <c r="J196" s="6" t="s">
        <v>442</v>
      </c>
      <c r="K196" s="6" t="s">
        <v>439</v>
      </c>
      <c r="L196" s="6" t="s">
        <v>49</v>
      </c>
      <c r="M196" s="6" t="s">
        <v>49</v>
      </c>
    </row>
    <row r="197" ht="14.4" spans="1:13">
      <c r="A197" s="6" t="s">
        <v>711</v>
      </c>
      <c r="B197" s="6" t="s">
        <v>712</v>
      </c>
      <c r="C197" s="6" t="s">
        <v>20</v>
      </c>
      <c r="D197" s="6" t="s">
        <v>49</v>
      </c>
      <c r="E197" s="6" t="s">
        <v>49</v>
      </c>
      <c r="F197" s="6" t="s">
        <v>49</v>
      </c>
      <c r="G197" s="6" t="s">
        <v>441</v>
      </c>
      <c r="H197" s="10">
        <v>30</v>
      </c>
      <c r="I197" s="10">
        <v>20</v>
      </c>
      <c r="J197" s="6" t="s">
        <v>442</v>
      </c>
      <c r="K197" s="6" t="s">
        <v>439</v>
      </c>
      <c r="L197" s="6" t="s">
        <v>49</v>
      </c>
      <c r="M197" s="6" t="s">
        <v>49</v>
      </c>
    </row>
    <row r="198" ht="14.4" spans="1:13">
      <c r="A198" s="6" t="s">
        <v>713</v>
      </c>
      <c r="B198" s="6" t="s">
        <v>710</v>
      </c>
      <c r="C198" s="6" t="s">
        <v>20</v>
      </c>
      <c r="D198" s="6" t="s">
        <v>49</v>
      </c>
      <c r="E198" s="6" t="s">
        <v>49</v>
      </c>
      <c r="F198" s="6" t="s">
        <v>353</v>
      </c>
      <c r="G198" s="6" t="s">
        <v>441</v>
      </c>
      <c r="H198" s="10">
        <v>30</v>
      </c>
      <c r="I198" s="10">
        <v>20</v>
      </c>
      <c r="J198" s="6" t="s">
        <v>442</v>
      </c>
      <c r="K198" s="6" t="s">
        <v>439</v>
      </c>
      <c r="L198" s="6" t="s">
        <v>49</v>
      </c>
      <c r="M198" s="6" t="s">
        <v>49</v>
      </c>
    </row>
    <row r="199" ht="14.4" spans="1:13">
      <c r="A199" s="6" t="s">
        <v>714</v>
      </c>
      <c r="B199" s="6" t="s">
        <v>715</v>
      </c>
      <c r="C199" s="6" t="s">
        <v>20</v>
      </c>
      <c r="D199" s="6" t="s">
        <v>49</v>
      </c>
      <c r="E199" s="6" t="s">
        <v>49</v>
      </c>
      <c r="F199" s="6" t="s">
        <v>353</v>
      </c>
      <c r="G199" s="6" t="s">
        <v>441</v>
      </c>
      <c r="H199" s="10">
        <v>30</v>
      </c>
      <c r="I199" s="10">
        <v>20</v>
      </c>
      <c r="J199" s="6" t="s">
        <v>442</v>
      </c>
      <c r="K199" s="6" t="s">
        <v>439</v>
      </c>
      <c r="L199" s="6" t="s">
        <v>49</v>
      </c>
      <c r="M199" s="6" t="s">
        <v>49</v>
      </c>
    </row>
    <row r="200" ht="14.4" spans="1:13">
      <c r="A200" s="6" t="s">
        <v>716</v>
      </c>
      <c r="B200" s="6" t="s">
        <v>710</v>
      </c>
      <c r="C200" s="6" t="s">
        <v>20</v>
      </c>
      <c r="D200" s="6" t="s">
        <v>49</v>
      </c>
      <c r="E200" s="6" t="s">
        <v>49</v>
      </c>
      <c r="F200" s="6" t="s">
        <v>353</v>
      </c>
      <c r="G200" s="6" t="s">
        <v>441</v>
      </c>
      <c r="H200" s="10">
        <v>30</v>
      </c>
      <c r="I200" s="10">
        <v>20</v>
      </c>
      <c r="J200" s="6" t="s">
        <v>442</v>
      </c>
      <c r="K200" s="6" t="s">
        <v>439</v>
      </c>
      <c r="L200" s="6" t="s">
        <v>49</v>
      </c>
      <c r="M200" s="6" t="s">
        <v>49</v>
      </c>
    </row>
    <row r="201" ht="14.4" spans="1:13">
      <c r="A201" s="6" t="s">
        <v>717</v>
      </c>
      <c r="B201" s="6" t="s">
        <v>715</v>
      </c>
      <c r="C201" s="6" t="s">
        <v>20</v>
      </c>
      <c r="D201" s="6" t="s">
        <v>49</v>
      </c>
      <c r="E201" s="6" t="s">
        <v>49</v>
      </c>
      <c r="F201" s="6" t="s">
        <v>353</v>
      </c>
      <c r="G201" s="6" t="s">
        <v>441</v>
      </c>
      <c r="H201" s="10">
        <v>30</v>
      </c>
      <c r="I201" s="10">
        <v>20</v>
      </c>
      <c r="J201" s="6" t="s">
        <v>442</v>
      </c>
      <c r="K201" s="6" t="s">
        <v>439</v>
      </c>
      <c r="L201" s="6" t="s">
        <v>49</v>
      </c>
      <c r="M201" s="6" t="s">
        <v>49</v>
      </c>
    </row>
    <row r="202" ht="14.4" spans="1:13">
      <c r="A202" s="6" t="s">
        <v>718</v>
      </c>
      <c r="B202" s="6" t="s">
        <v>710</v>
      </c>
      <c r="C202" s="6" t="s">
        <v>20</v>
      </c>
      <c r="D202" s="6" t="s">
        <v>49</v>
      </c>
      <c r="E202" s="6" t="s">
        <v>49</v>
      </c>
      <c r="F202" s="6" t="s">
        <v>353</v>
      </c>
      <c r="G202" s="6" t="s">
        <v>441</v>
      </c>
      <c r="H202" s="10">
        <v>30</v>
      </c>
      <c r="I202" s="10">
        <v>20</v>
      </c>
      <c r="J202" s="6" t="s">
        <v>442</v>
      </c>
      <c r="K202" s="6" t="s">
        <v>439</v>
      </c>
      <c r="L202" s="6" t="s">
        <v>49</v>
      </c>
      <c r="M202" s="6" t="s">
        <v>49</v>
      </c>
    </row>
    <row r="203" ht="14.4" spans="1:13">
      <c r="A203" s="6" t="s">
        <v>719</v>
      </c>
      <c r="B203" s="6" t="s">
        <v>715</v>
      </c>
      <c r="C203" s="6" t="s">
        <v>20</v>
      </c>
      <c r="D203" s="6" t="s">
        <v>49</v>
      </c>
      <c r="E203" s="6" t="s">
        <v>49</v>
      </c>
      <c r="F203" s="6" t="s">
        <v>353</v>
      </c>
      <c r="G203" s="6" t="s">
        <v>441</v>
      </c>
      <c r="H203" s="10">
        <v>30</v>
      </c>
      <c r="I203" s="10">
        <v>20</v>
      </c>
      <c r="J203" s="6" t="s">
        <v>442</v>
      </c>
      <c r="K203" s="6" t="s">
        <v>439</v>
      </c>
      <c r="L203" s="6" t="s">
        <v>49</v>
      </c>
      <c r="M203" s="6" t="s">
        <v>49</v>
      </c>
    </row>
    <row r="204" ht="14.4" spans="1:13">
      <c r="A204" s="6" t="s">
        <v>720</v>
      </c>
      <c r="B204" s="6" t="s">
        <v>710</v>
      </c>
      <c r="C204" s="6" t="s">
        <v>20</v>
      </c>
      <c r="D204" s="6" t="s">
        <v>49</v>
      </c>
      <c r="E204" s="6" t="s">
        <v>49</v>
      </c>
      <c r="F204" s="6" t="s">
        <v>353</v>
      </c>
      <c r="G204" s="6" t="s">
        <v>441</v>
      </c>
      <c r="H204" s="10">
        <v>30</v>
      </c>
      <c r="I204" s="10">
        <v>20</v>
      </c>
      <c r="J204" s="6" t="s">
        <v>442</v>
      </c>
      <c r="K204" s="6" t="s">
        <v>439</v>
      </c>
      <c r="L204" s="6" t="s">
        <v>49</v>
      </c>
      <c r="M204" s="6" t="s">
        <v>49</v>
      </c>
    </row>
    <row r="205" ht="14.4" spans="1:13">
      <c r="A205" s="6" t="s">
        <v>721</v>
      </c>
      <c r="B205" s="6" t="s">
        <v>715</v>
      </c>
      <c r="C205" s="6" t="s">
        <v>20</v>
      </c>
      <c r="D205" s="6" t="s">
        <v>49</v>
      </c>
      <c r="E205" s="6" t="s">
        <v>49</v>
      </c>
      <c r="F205" s="6" t="s">
        <v>353</v>
      </c>
      <c r="G205" s="6" t="s">
        <v>441</v>
      </c>
      <c r="H205" s="10">
        <v>30</v>
      </c>
      <c r="I205" s="10">
        <v>20</v>
      </c>
      <c r="J205" s="6" t="s">
        <v>442</v>
      </c>
      <c r="K205" s="6" t="s">
        <v>439</v>
      </c>
      <c r="L205" s="6" t="s">
        <v>49</v>
      </c>
      <c r="M205" s="6" t="s">
        <v>49</v>
      </c>
    </row>
    <row r="206" ht="14.4" spans="1:13">
      <c r="A206" s="6" t="s">
        <v>722</v>
      </c>
      <c r="B206" s="6" t="s">
        <v>710</v>
      </c>
      <c r="C206" s="6" t="s">
        <v>20</v>
      </c>
      <c r="D206" s="6" t="s">
        <v>49</v>
      </c>
      <c r="E206" s="6" t="s">
        <v>49</v>
      </c>
      <c r="F206" s="6" t="s">
        <v>353</v>
      </c>
      <c r="G206" s="6" t="s">
        <v>441</v>
      </c>
      <c r="H206" s="10">
        <v>30</v>
      </c>
      <c r="I206" s="10">
        <v>20</v>
      </c>
      <c r="J206" s="6" t="s">
        <v>442</v>
      </c>
      <c r="K206" s="6" t="s">
        <v>439</v>
      </c>
      <c r="L206" s="6" t="s">
        <v>49</v>
      </c>
      <c r="M206" s="6" t="s">
        <v>49</v>
      </c>
    </row>
    <row r="207" ht="14.4" spans="1:13">
      <c r="A207" s="6" t="s">
        <v>723</v>
      </c>
      <c r="B207" s="6" t="s">
        <v>715</v>
      </c>
      <c r="C207" s="6" t="s">
        <v>20</v>
      </c>
      <c r="D207" s="6" t="s">
        <v>49</v>
      </c>
      <c r="E207" s="6" t="s">
        <v>49</v>
      </c>
      <c r="F207" s="6" t="s">
        <v>353</v>
      </c>
      <c r="G207" s="6" t="s">
        <v>441</v>
      </c>
      <c r="H207" s="10">
        <v>30</v>
      </c>
      <c r="I207" s="10">
        <v>20</v>
      </c>
      <c r="J207" s="6" t="s">
        <v>442</v>
      </c>
      <c r="K207" s="6" t="s">
        <v>439</v>
      </c>
      <c r="L207" s="6" t="s">
        <v>49</v>
      </c>
      <c r="M207" s="6" t="s">
        <v>49</v>
      </c>
    </row>
    <row r="208" ht="14.4" spans="1:13">
      <c r="A208" s="6" t="s">
        <v>724</v>
      </c>
      <c r="B208" s="6" t="s">
        <v>710</v>
      </c>
      <c r="C208" s="6" t="s">
        <v>20</v>
      </c>
      <c r="D208" s="6" t="s">
        <v>49</v>
      </c>
      <c r="E208" s="6" t="s">
        <v>49</v>
      </c>
      <c r="F208" s="6" t="s">
        <v>353</v>
      </c>
      <c r="G208" s="6" t="s">
        <v>441</v>
      </c>
      <c r="H208" s="10">
        <v>30</v>
      </c>
      <c r="I208" s="10">
        <v>20</v>
      </c>
      <c r="J208" s="6" t="s">
        <v>442</v>
      </c>
      <c r="K208" s="6" t="s">
        <v>439</v>
      </c>
      <c r="L208" s="6" t="s">
        <v>49</v>
      </c>
      <c r="M208" s="6" t="s">
        <v>49</v>
      </c>
    </row>
    <row r="209" ht="14.4" spans="1:13">
      <c r="A209" s="6" t="s">
        <v>725</v>
      </c>
      <c r="B209" s="6" t="s">
        <v>715</v>
      </c>
      <c r="C209" s="6" t="s">
        <v>20</v>
      </c>
      <c r="D209" s="6" t="s">
        <v>49</v>
      </c>
      <c r="E209" s="6" t="s">
        <v>49</v>
      </c>
      <c r="F209" s="6" t="s">
        <v>353</v>
      </c>
      <c r="G209" s="6" t="s">
        <v>441</v>
      </c>
      <c r="H209" s="10">
        <v>30</v>
      </c>
      <c r="I209" s="10">
        <v>20</v>
      </c>
      <c r="J209" s="6" t="s">
        <v>442</v>
      </c>
      <c r="K209" s="6" t="s">
        <v>439</v>
      </c>
      <c r="L209" s="6" t="s">
        <v>49</v>
      </c>
      <c r="M209" s="6" t="s">
        <v>49</v>
      </c>
    </row>
    <row r="210" ht="14.4" spans="1:13">
      <c r="A210" s="6" t="s">
        <v>726</v>
      </c>
      <c r="B210" s="6" t="s">
        <v>478</v>
      </c>
      <c r="C210" s="6" t="s">
        <v>21</v>
      </c>
      <c r="D210" s="6" t="s">
        <v>49</v>
      </c>
      <c r="E210" s="6" t="s">
        <v>49</v>
      </c>
      <c r="F210" s="6" t="s">
        <v>49</v>
      </c>
      <c r="G210" s="6" t="s">
        <v>437</v>
      </c>
      <c r="H210" s="10">
        <v>80</v>
      </c>
      <c r="I210" s="10">
        <v>15</v>
      </c>
      <c r="J210" s="6" t="s">
        <v>438</v>
      </c>
      <c r="K210" s="6" t="s">
        <v>439</v>
      </c>
      <c r="L210" s="6" t="s">
        <v>49</v>
      </c>
      <c r="M210" s="6" t="s">
        <v>49</v>
      </c>
    </row>
    <row r="211" ht="14.4" spans="1:13">
      <c r="A211" s="6" t="s">
        <v>727</v>
      </c>
      <c r="B211" s="6" t="s">
        <v>480</v>
      </c>
      <c r="C211" s="6" t="s">
        <v>21</v>
      </c>
      <c r="D211" s="6" t="s">
        <v>49</v>
      </c>
      <c r="E211" s="6" t="s">
        <v>49</v>
      </c>
      <c r="F211" s="6" t="s">
        <v>49</v>
      </c>
      <c r="G211" s="6" t="s">
        <v>437</v>
      </c>
      <c r="H211" s="10">
        <v>80</v>
      </c>
      <c r="I211" s="10">
        <v>15</v>
      </c>
      <c r="J211" s="6" t="s">
        <v>438</v>
      </c>
      <c r="K211" s="6" t="s">
        <v>439</v>
      </c>
      <c r="L211" s="6" t="s">
        <v>49</v>
      </c>
      <c r="M211" s="6" t="s">
        <v>49</v>
      </c>
    </row>
    <row r="212" ht="14.4" spans="1:13">
      <c r="A212" s="6" t="s">
        <v>728</v>
      </c>
      <c r="B212" s="6" t="s">
        <v>729</v>
      </c>
      <c r="C212" s="6" t="s">
        <v>21</v>
      </c>
      <c r="D212" s="6" t="s">
        <v>49</v>
      </c>
      <c r="E212" s="6" t="s">
        <v>49</v>
      </c>
      <c r="F212" s="6" t="s">
        <v>49</v>
      </c>
      <c r="G212" s="6" t="s">
        <v>437</v>
      </c>
      <c r="H212" s="10">
        <v>80</v>
      </c>
      <c r="I212" s="10">
        <v>15</v>
      </c>
      <c r="J212" s="6" t="s">
        <v>438</v>
      </c>
      <c r="K212" s="6" t="s">
        <v>439</v>
      </c>
      <c r="L212" s="6" t="s">
        <v>49</v>
      </c>
      <c r="M212" s="6" t="s">
        <v>49</v>
      </c>
    </row>
    <row r="213" ht="14.4" spans="1:13">
      <c r="A213" s="6" t="s">
        <v>730</v>
      </c>
      <c r="B213" s="6" t="s">
        <v>731</v>
      </c>
      <c r="C213" s="6" t="s">
        <v>21</v>
      </c>
      <c r="D213" s="6" t="s">
        <v>49</v>
      </c>
      <c r="E213" s="6" t="s">
        <v>49</v>
      </c>
      <c r="F213" s="6" t="s">
        <v>49</v>
      </c>
      <c r="G213" s="6" t="s">
        <v>437</v>
      </c>
      <c r="H213" s="10">
        <v>80</v>
      </c>
      <c r="I213" s="10">
        <v>15</v>
      </c>
      <c r="J213" s="6" t="s">
        <v>438</v>
      </c>
      <c r="K213" s="6" t="s">
        <v>439</v>
      </c>
      <c r="L213" s="6" t="s">
        <v>49</v>
      </c>
      <c r="M213" s="6" t="s">
        <v>49</v>
      </c>
    </row>
    <row r="214" ht="14.4" spans="1:13">
      <c r="A214" s="6" t="s">
        <v>732</v>
      </c>
      <c r="B214" s="6" t="s">
        <v>733</v>
      </c>
      <c r="C214" s="6" t="s">
        <v>21</v>
      </c>
      <c r="D214" s="6" t="s">
        <v>49</v>
      </c>
      <c r="E214" s="6" t="s">
        <v>49</v>
      </c>
      <c r="F214" s="6" t="s">
        <v>49</v>
      </c>
      <c r="G214" s="6" t="s">
        <v>437</v>
      </c>
      <c r="H214" s="10">
        <v>80</v>
      </c>
      <c r="I214" s="10">
        <v>15</v>
      </c>
      <c r="J214" s="6" t="s">
        <v>438</v>
      </c>
      <c r="K214" s="6" t="s">
        <v>439</v>
      </c>
      <c r="L214" s="6" t="s">
        <v>49</v>
      </c>
      <c r="M214" s="6" t="s">
        <v>49</v>
      </c>
    </row>
    <row r="215" ht="14.4" spans="1:13">
      <c r="A215" s="6" t="s">
        <v>734</v>
      </c>
      <c r="B215" s="6" t="s">
        <v>735</v>
      </c>
      <c r="C215" s="6" t="s">
        <v>21</v>
      </c>
      <c r="D215" s="6" t="s">
        <v>49</v>
      </c>
      <c r="E215" s="6" t="s">
        <v>49</v>
      </c>
      <c r="F215" s="6" t="s">
        <v>49</v>
      </c>
      <c r="G215" s="6" t="s">
        <v>437</v>
      </c>
      <c r="H215" s="10">
        <v>80</v>
      </c>
      <c r="I215" s="10">
        <v>15</v>
      </c>
      <c r="J215" s="6" t="s">
        <v>438</v>
      </c>
      <c r="K215" s="6" t="s">
        <v>439</v>
      </c>
      <c r="L215" s="6" t="s">
        <v>49</v>
      </c>
      <c r="M215" s="6" t="s">
        <v>49</v>
      </c>
    </row>
    <row r="216" ht="14.4" spans="1:13">
      <c r="A216" s="6" t="s">
        <v>736</v>
      </c>
      <c r="B216" s="6" t="s">
        <v>382</v>
      </c>
      <c r="C216" s="6" t="s">
        <v>21</v>
      </c>
      <c r="D216" s="6" t="s">
        <v>49</v>
      </c>
      <c r="E216" s="6" t="s">
        <v>49</v>
      </c>
      <c r="F216" s="6" t="s">
        <v>49</v>
      </c>
      <c r="G216" s="6" t="s">
        <v>437</v>
      </c>
      <c r="H216" s="10">
        <v>80</v>
      </c>
      <c r="I216" s="10">
        <v>15</v>
      </c>
      <c r="J216" s="6" t="s">
        <v>438</v>
      </c>
      <c r="K216" s="6" t="s">
        <v>439</v>
      </c>
      <c r="L216" s="6" t="s">
        <v>49</v>
      </c>
      <c r="M216" s="6" t="s">
        <v>49</v>
      </c>
    </row>
    <row r="217" ht="14.4" spans="1:13">
      <c r="A217" s="6" t="s">
        <v>737</v>
      </c>
      <c r="B217" s="6" t="s">
        <v>388</v>
      </c>
      <c r="C217" s="6" t="s">
        <v>21</v>
      </c>
      <c r="D217" s="6" t="s">
        <v>49</v>
      </c>
      <c r="E217" s="6" t="s">
        <v>49</v>
      </c>
      <c r="F217" s="6" t="s">
        <v>389</v>
      </c>
      <c r="G217" s="6" t="s">
        <v>437</v>
      </c>
      <c r="H217" s="10">
        <v>80</v>
      </c>
      <c r="I217" s="10">
        <v>15</v>
      </c>
      <c r="J217" s="6" t="s">
        <v>438</v>
      </c>
      <c r="K217" s="6" t="s">
        <v>439</v>
      </c>
      <c r="L217" s="6" t="s">
        <v>49</v>
      </c>
      <c r="M217" s="6" t="s">
        <v>49</v>
      </c>
    </row>
    <row r="218" ht="14.4" spans="1:13">
      <c r="A218" s="6" t="s">
        <v>738</v>
      </c>
      <c r="B218" s="6" t="s">
        <v>398</v>
      </c>
      <c r="C218" s="6" t="s">
        <v>21</v>
      </c>
      <c r="D218" s="6" t="s">
        <v>49</v>
      </c>
      <c r="E218" s="6" t="s">
        <v>49</v>
      </c>
      <c r="F218" s="6" t="s">
        <v>49</v>
      </c>
      <c r="G218" s="6" t="s">
        <v>437</v>
      </c>
      <c r="H218" s="10">
        <v>80</v>
      </c>
      <c r="I218" s="10">
        <v>15</v>
      </c>
      <c r="J218" s="6" t="s">
        <v>438</v>
      </c>
      <c r="K218" s="6" t="s">
        <v>439</v>
      </c>
      <c r="L218" s="6" t="s">
        <v>49</v>
      </c>
      <c r="M218" s="6" t="s">
        <v>49</v>
      </c>
    </row>
    <row r="219" ht="14.4" spans="1:13">
      <c r="A219" s="6" t="s">
        <v>739</v>
      </c>
      <c r="B219" s="6" t="s">
        <v>398</v>
      </c>
      <c r="C219" s="6" t="s">
        <v>21</v>
      </c>
      <c r="D219" s="6" t="s">
        <v>49</v>
      </c>
      <c r="E219" s="6" t="s">
        <v>49</v>
      </c>
      <c r="F219" s="6" t="s">
        <v>49</v>
      </c>
      <c r="G219" s="6" t="s">
        <v>437</v>
      </c>
      <c r="H219" s="10">
        <v>80</v>
      </c>
      <c r="I219" s="10">
        <v>15</v>
      </c>
      <c r="J219" s="6" t="s">
        <v>438</v>
      </c>
      <c r="K219" s="6" t="s">
        <v>439</v>
      </c>
      <c r="L219" s="6" t="s">
        <v>49</v>
      </c>
      <c r="M219" s="6" t="s">
        <v>49</v>
      </c>
    </row>
    <row r="220" ht="14.4" spans="1:13">
      <c r="A220" s="6" t="s">
        <v>740</v>
      </c>
      <c r="B220" s="6" t="s">
        <v>398</v>
      </c>
      <c r="C220" s="6" t="s">
        <v>21</v>
      </c>
      <c r="D220" s="6" t="s">
        <v>49</v>
      </c>
      <c r="E220" s="6" t="s">
        <v>49</v>
      </c>
      <c r="F220" s="6" t="s">
        <v>49</v>
      </c>
      <c r="G220" s="6" t="s">
        <v>437</v>
      </c>
      <c r="H220" s="10">
        <v>80</v>
      </c>
      <c r="I220" s="10">
        <v>15</v>
      </c>
      <c r="J220" s="6" t="s">
        <v>438</v>
      </c>
      <c r="K220" s="6" t="s">
        <v>439</v>
      </c>
      <c r="L220" s="6" t="s">
        <v>49</v>
      </c>
      <c r="M220" s="6" t="s">
        <v>49</v>
      </c>
    </row>
    <row r="221" ht="14.4" spans="1:13">
      <c r="A221" s="6" t="s">
        <v>741</v>
      </c>
      <c r="B221" s="6" t="s">
        <v>398</v>
      </c>
      <c r="C221" s="6" t="s">
        <v>21</v>
      </c>
      <c r="D221" s="6" t="s">
        <v>49</v>
      </c>
      <c r="E221" s="6" t="s">
        <v>49</v>
      </c>
      <c r="F221" s="6" t="s">
        <v>49</v>
      </c>
      <c r="G221" s="6" t="s">
        <v>437</v>
      </c>
      <c r="H221" s="10">
        <v>80</v>
      </c>
      <c r="I221" s="10">
        <v>15</v>
      </c>
      <c r="J221" s="6" t="s">
        <v>438</v>
      </c>
      <c r="K221" s="6" t="s">
        <v>439</v>
      </c>
      <c r="L221" s="6" t="s">
        <v>49</v>
      </c>
      <c r="M221" s="6" t="s">
        <v>49</v>
      </c>
    </row>
    <row r="222" ht="14.4" spans="1:13">
      <c r="A222" s="6" t="s">
        <v>742</v>
      </c>
      <c r="B222" s="6" t="s">
        <v>743</v>
      </c>
      <c r="C222" s="6" t="s">
        <v>21</v>
      </c>
      <c r="D222" s="6" t="s">
        <v>49</v>
      </c>
      <c r="E222" s="6" t="s">
        <v>49</v>
      </c>
      <c r="F222" s="6" t="s">
        <v>49</v>
      </c>
      <c r="G222" s="6" t="s">
        <v>437</v>
      </c>
      <c r="H222" s="10">
        <v>80</v>
      </c>
      <c r="I222" s="10">
        <v>15</v>
      </c>
      <c r="J222" s="6" t="s">
        <v>438</v>
      </c>
      <c r="K222" s="6" t="s">
        <v>439</v>
      </c>
      <c r="L222" s="6" t="s">
        <v>49</v>
      </c>
      <c r="M222" s="6" t="s">
        <v>49</v>
      </c>
    </row>
    <row r="223" ht="14.4" spans="1:13">
      <c r="A223" s="6" t="s">
        <v>744</v>
      </c>
      <c r="B223" s="6" t="s">
        <v>745</v>
      </c>
      <c r="C223" s="6" t="s">
        <v>21</v>
      </c>
      <c r="D223" s="6" t="s">
        <v>49</v>
      </c>
      <c r="E223" s="6" t="s">
        <v>49</v>
      </c>
      <c r="F223" s="6" t="s">
        <v>49</v>
      </c>
      <c r="G223" s="6" t="s">
        <v>437</v>
      </c>
      <c r="H223" s="10">
        <v>80</v>
      </c>
      <c r="I223" s="10">
        <v>15</v>
      </c>
      <c r="J223" s="6" t="s">
        <v>438</v>
      </c>
      <c r="K223" s="6" t="s">
        <v>439</v>
      </c>
      <c r="L223" s="6" t="s">
        <v>49</v>
      </c>
      <c r="M223" s="6" t="s">
        <v>49</v>
      </c>
    </row>
    <row r="224" ht="14.4" spans="1:13">
      <c r="A224" s="6" t="s">
        <v>746</v>
      </c>
      <c r="B224" s="6" t="s">
        <v>743</v>
      </c>
      <c r="C224" s="6" t="s">
        <v>21</v>
      </c>
      <c r="D224" s="6" t="s">
        <v>49</v>
      </c>
      <c r="E224" s="6" t="s">
        <v>49</v>
      </c>
      <c r="F224" s="6" t="s">
        <v>49</v>
      </c>
      <c r="G224" s="6" t="s">
        <v>437</v>
      </c>
      <c r="H224" s="10">
        <v>80</v>
      </c>
      <c r="I224" s="10">
        <v>15</v>
      </c>
      <c r="J224" s="6" t="s">
        <v>438</v>
      </c>
      <c r="K224" s="6" t="s">
        <v>439</v>
      </c>
      <c r="L224" s="6" t="s">
        <v>49</v>
      </c>
      <c r="M224" s="6" t="s">
        <v>49</v>
      </c>
    </row>
    <row r="225" ht="14.4" spans="1:13">
      <c r="A225" s="6" t="s">
        <v>747</v>
      </c>
      <c r="B225" s="6" t="s">
        <v>748</v>
      </c>
      <c r="C225" s="6" t="s">
        <v>21</v>
      </c>
      <c r="D225" s="6" t="s">
        <v>49</v>
      </c>
      <c r="E225" s="6" t="s">
        <v>49</v>
      </c>
      <c r="F225" s="6" t="s">
        <v>49</v>
      </c>
      <c r="G225" s="6" t="s">
        <v>437</v>
      </c>
      <c r="H225" s="10">
        <v>80</v>
      </c>
      <c r="I225" s="10">
        <v>15</v>
      </c>
      <c r="J225" s="6" t="s">
        <v>438</v>
      </c>
      <c r="K225" s="6" t="s">
        <v>439</v>
      </c>
      <c r="L225" s="6" t="s">
        <v>49</v>
      </c>
      <c r="M225" s="6" t="s">
        <v>49</v>
      </c>
    </row>
    <row r="226" ht="14.4" spans="1:13">
      <c r="A226" s="6" t="s">
        <v>749</v>
      </c>
      <c r="B226" s="6" t="s">
        <v>745</v>
      </c>
      <c r="C226" s="6" t="s">
        <v>21</v>
      </c>
      <c r="D226" s="6" t="s">
        <v>49</v>
      </c>
      <c r="E226" s="6" t="s">
        <v>49</v>
      </c>
      <c r="F226" s="6" t="s">
        <v>49</v>
      </c>
      <c r="G226" s="6" t="s">
        <v>437</v>
      </c>
      <c r="H226" s="10">
        <v>80</v>
      </c>
      <c r="I226" s="10">
        <v>15</v>
      </c>
      <c r="J226" s="6" t="s">
        <v>438</v>
      </c>
      <c r="K226" s="6" t="s">
        <v>439</v>
      </c>
      <c r="L226" s="6" t="s">
        <v>49</v>
      </c>
      <c r="M226" s="6" t="s">
        <v>49</v>
      </c>
    </row>
    <row r="227" ht="14.4" spans="1:13">
      <c r="A227" s="6" t="s">
        <v>750</v>
      </c>
      <c r="B227" s="6" t="s">
        <v>748</v>
      </c>
      <c r="C227" s="6" t="s">
        <v>21</v>
      </c>
      <c r="D227" s="6" t="s">
        <v>49</v>
      </c>
      <c r="E227" s="6" t="s">
        <v>49</v>
      </c>
      <c r="F227" s="6" t="s">
        <v>49</v>
      </c>
      <c r="G227" s="6" t="s">
        <v>437</v>
      </c>
      <c r="H227" s="10">
        <v>80</v>
      </c>
      <c r="I227" s="10">
        <v>15</v>
      </c>
      <c r="J227" s="6" t="s">
        <v>438</v>
      </c>
      <c r="K227" s="6" t="s">
        <v>439</v>
      </c>
      <c r="L227" s="6" t="s">
        <v>49</v>
      </c>
      <c r="M227" s="6" t="s">
        <v>49</v>
      </c>
    </row>
    <row r="228" ht="14.4" spans="1:13">
      <c r="A228" s="6" t="s">
        <v>751</v>
      </c>
      <c r="B228" s="6" t="s">
        <v>745</v>
      </c>
      <c r="C228" s="6" t="s">
        <v>21</v>
      </c>
      <c r="D228" s="6" t="s">
        <v>49</v>
      </c>
      <c r="E228" s="6" t="s">
        <v>49</v>
      </c>
      <c r="F228" s="6" t="s">
        <v>49</v>
      </c>
      <c r="G228" s="6" t="s">
        <v>437</v>
      </c>
      <c r="H228" s="10">
        <v>80</v>
      </c>
      <c r="I228" s="10">
        <v>15</v>
      </c>
      <c r="J228" s="6" t="s">
        <v>438</v>
      </c>
      <c r="K228" s="6" t="s">
        <v>439</v>
      </c>
      <c r="L228" s="6" t="s">
        <v>49</v>
      </c>
      <c r="M228" s="6" t="s">
        <v>49</v>
      </c>
    </row>
    <row r="229" ht="14.4" spans="1:13">
      <c r="A229" s="6" t="s">
        <v>752</v>
      </c>
      <c r="B229" s="6" t="s">
        <v>743</v>
      </c>
      <c r="C229" s="6" t="s">
        <v>21</v>
      </c>
      <c r="D229" s="6" t="s">
        <v>49</v>
      </c>
      <c r="E229" s="6" t="s">
        <v>49</v>
      </c>
      <c r="F229" s="6" t="s">
        <v>49</v>
      </c>
      <c r="G229" s="6" t="s">
        <v>437</v>
      </c>
      <c r="H229" s="10">
        <v>80</v>
      </c>
      <c r="I229" s="10">
        <v>15</v>
      </c>
      <c r="J229" s="6" t="s">
        <v>438</v>
      </c>
      <c r="K229" s="6" t="s">
        <v>439</v>
      </c>
      <c r="L229" s="6" t="s">
        <v>49</v>
      </c>
      <c r="M229" s="6" t="s">
        <v>49</v>
      </c>
    </row>
    <row r="230" ht="14.4" spans="1:13">
      <c r="A230" s="6" t="s">
        <v>753</v>
      </c>
      <c r="B230" s="6" t="s">
        <v>754</v>
      </c>
      <c r="C230" s="6" t="s">
        <v>21</v>
      </c>
      <c r="D230" s="6" t="s">
        <v>49</v>
      </c>
      <c r="E230" s="6" t="s">
        <v>49</v>
      </c>
      <c r="F230" s="6" t="s">
        <v>49</v>
      </c>
      <c r="G230" s="6" t="s">
        <v>437</v>
      </c>
      <c r="H230" s="10">
        <v>80</v>
      </c>
      <c r="I230" s="10">
        <v>15</v>
      </c>
      <c r="J230" s="6" t="s">
        <v>438</v>
      </c>
      <c r="K230" s="6" t="s">
        <v>439</v>
      </c>
      <c r="L230" s="6" t="s">
        <v>49</v>
      </c>
      <c r="M230" s="6" t="s">
        <v>49</v>
      </c>
    </row>
    <row r="231" ht="14.4" spans="1:13">
      <c r="A231" s="6" t="s">
        <v>755</v>
      </c>
      <c r="B231" s="6" t="s">
        <v>756</v>
      </c>
      <c r="C231" s="6" t="s">
        <v>21</v>
      </c>
      <c r="D231" s="6" t="s">
        <v>49</v>
      </c>
      <c r="E231" s="6" t="s">
        <v>49</v>
      </c>
      <c r="F231" s="6" t="s">
        <v>49</v>
      </c>
      <c r="G231" s="6" t="s">
        <v>437</v>
      </c>
      <c r="H231" s="10">
        <v>80</v>
      </c>
      <c r="I231" s="10">
        <v>15</v>
      </c>
      <c r="J231" s="6" t="s">
        <v>438</v>
      </c>
      <c r="K231" s="6" t="s">
        <v>439</v>
      </c>
      <c r="L231" s="6" t="s">
        <v>49</v>
      </c>
      <c r="M231" s="6" t="s">
        <v>49</v>
      </c>
    </row>
    <row r="232" spans="8:9">
      <c r="H232" s="16"/>
      <c r="I232" s="16"/>
    </row>
    <row r="233" spans="8:9">
      <c r="H233" s="16"/>
      <c r="I233" s="16"/>
    </row>
    <row r="234" spans="8:9">
      <c r="H234" s="16"/>
      <c r="I234" s="16"/>
    </row>
    <row r="235" spans="8:9">
      <c r="H235" s="16"/>
      <c r="I235" s="16"/>
    </row>
    <row r="236" spans="8:9">
      <c r="H236" s="16"/>
      <c r="I236" s="16"/>
    </row>
    <row r="237" spans="8:9">
      <c r="H237" s="16"/>
      <c r="I237" s="16"/>
    </row>
    <row r="238" spans="8:9">
      <c r="H238" s="16"/>
      <c r="I238" s="16"/>
    </row>
    <row r="239" spans="8:9">
      <c r="H239" s="16"/>
      <c r="I239" s="16"/>
    </row>
    <row r="240" spans="8:9">
      <c r="H240" s="16"/>
      <c r="I240" s="16"/>
    </row>
    <row r="241" spans="8:9">
      <c r="H241" s="16"/>
      <c r="I241" s="16"/>
    </row>
    <row r="242" spans="8:9">
      <c r="H242" s="16"/>
      <c r="I242" s="16"/>
    </row>
    <row r="243" spans="8:9">
      <c r="H243" s="16"/>
      <c r="I243" s="16"/>
    </row>
    <row r="244" spans="8:9">
      <c r="H244" s="16"/>
      <c r="I244" s="16"/>
    </row>
  </sheetData>
  <mergeCells count="2">
    <mergeCell ref="A1:M1"/>
    <mergeCell ref="A3:M3"/>
  </mergeCells>
  <dataValidations count="3">
    <dataValidation type="list" sqref="C5:C244">
      <formula1>"纱线,面料,辅料,半成品,成衣"</formula1>
    </dataValidation>
    <dataValidation type="list" sqref="G5:G244">
      <formula1>"KG,G,M,Y,PCS,件,卷,包"</formula1>
    </dataValidation>
    <dataValidation type="list" sqref="K5:K244">
      <formula1>"启用,停用"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4"/>
  <sheetViews>
    <sheetView showGridLines="0" workbookViewId="0">
      <selection activeCell="A1" sqref="A1:R1"/>
    </sheetView>
  </sheetViews>
  <sheetFormatPr defaultColWidth="9" defaultRowHeight="13.8"/>
  <cols>
    <col min="1" max="1" width="11.8833333333333" customWidth="1"/>
    <col min="2" max="2" width="16.25" customWidth="1"/>
    <col min="3" max="3" width="15" customWidth="1"/>
    <col min="4" max="4" width="20" customWidth="1"/>
    <col min="5" max="5" width="11.25" customWidth="1"/>
    <col min="6" max="6" width="27.5" customWidth="1"/>
    <col min="7" max="7" width="10" customWidth="1"/>
    <col min="8" max="8" width="12.5" customWidth="1"/>
    <col min="9" max="11" width="10" customWidth="1"/>
    <col min="12" max="12" width="11.25" customWidth="1"/>
    <col min="13" max="13" width="10" customWidth="1"/>
    <col min="14" max="15" width="11.8833333333333" customWidth="1"/>
    <col min="16" max="17" width="12.5" customWidth="1"/>
    <col min="18" max="18" width="27.5" customWidth="1"/>
  </cols>
  <sheetData>
    <row r="1" ht="25.5" customHeight="1" spans="1:18">
      <c r="A1" s="1" t="s">
        <v>757</v>
      </c>
      <c r="B1" s="1" t="s">
        <v>757</v>
      </c>
      <c r="C1" s="1" t="s">
        <v>757</v>
      </c>
      <c r="D1" s="1" t="s">
        <v>757</v>
      </c>
      <c r="E1" s="1" t="s">
        <v>757</v>
      </c>
      <c r="F1" s="1" t="s">
        <v>757</v>
      </c>
      <c r="G1" s="1" t="s">
        <v>757</v>
      </c>
      <c r="H1" s="1" t="s">
        <v>757</v>
      </c>
      <c r="I1" s="1" t="s">
        <v>757</v>
      </c>
      <c r="J1" s="1" t="s">
        <v>757</v>
      </c>
      <c r="K1" s="1" t="s">
        <v>757</v>
      </c>
      <c r="L1" s="1" t="s">
        <v>757</v>
      </c>
      <c r="M1" s="1" t="s">
        <v>757</v>
      </c>
      <c r="N1" s="1" t="s">
        <v>757</v>
      </c>
      <c r="O1" s="1" t="s">
        <v>757</v>
      </c>
      <c r="P1" s="1" t="s">
        <v>757</v>
      </c>
      <c r="Q1" s="1" t="s">
        <v>757</v>
      </c>
      <c r="R1" s="1" t="s">
        <v>757</v>
      </c>
    </row>
    <row r="3" spans="1:18">
      <c r="A3" s="4" t="s">
        <v>758</v>
      </c>
      <c r="B3" s="4" t="s">
        <v>758</v>
      </c>
      <c r="C3" s="4" t="s">
        <v>758</v>
      </c>
      <c r="D3" s="4" t="s">
        <v>758</v>
      </c>
      <c r="E3" s="4" t="s">
        <v>758</v>
      </c>
      <c r="F3" s="4" t="s">
        <v>758</v>
      </c>
      <c r="G3" s="4" t="s">
        <v>758</v>
      </c>
      <c r="H3" s="4" t="s">
        <v>758</v>
      </c>
      <c r="I3" s="4" t="s">
        <v>758</v>
      </c>
      <c r="J3" s="4" t="s">
        <v>758</v>
      </c>
      <c r="K3" s="4" t="s">
        <v>758</v>
      </c>
      <c r="L3" s="4" t="s">
        <v>758</v>
      </c>
      <c r="M3" s="4" t="s">
        <v>758</v>
      </c>
      <c r="N3" s="4" t="s">
        <v>758</v>
      </c>
      <c r="O3" s="4" t="s">
        <v>758</v>
      </c>
      <c r="P3" s="4" t="s">
        <v>758</v>
      </c>
      <c r="Q3" s="4" t="s">
        <v>758</v>
      </c>
      <c r="R3" s="4" t="s">
        <v>758</v>
      </c>
    </row>
    <row r="4" ht="22.5" customHeight="1" spans="1:18">
      <c r="A4" s="5" t="s">
        <v>759</v>
      </c>
      <c r="B4" s="5" t="s">
        <v>30</v>
      </c>
      <c r="C4" s="5" t="s">
        <v>31</v>
      </c>
      <c r="D4" s="5" t="s">
        <v>33</v>
      </c>
      <c r="E4" s="5" t="s">
        <v>14</v>
      </c>
      <c r="F4" s="5" t="s">
        <v>15</v>
      </c>
      <c r="G4" s="5" t="s">
        <v>8</v>
      </c>
      <c r="H4" s="5" t="s">
        <v>760</v>
      </c>
      <c r="I4" s="5" t="s">
        <v>761</v>
      </c>
      <c r="J4" s="5" t="s">
        <v>762</v>
      </c>
      <c r="K4" s="5" t="s">
        <v>763</v>
      </c>
      <c r="L4" s="5" t="s">
        <v>36</v>
      </c>
      <c r="M4" s="5" t="s">
        <v>764</v>
      </c>
      <c r="N4" s="5" t="s">
        <v>765</v>
      </c>
      <c r="O4" s="5" t="s">
        <v>766</v>
      </c>
      <c r="P4" s="5" t="s">
        <v>35</v>
      </c>
      <c r="Q4" s="5" t="s">
        <v>767</v>
      </c>
      <c r="R4" s="5" t="s">
        <v>44</v>
      </c>
    </row>
    <row r="5" ht="28.8" spans="1:18">
      <c r="A5" s="6" t="s">
        <v>768</v>
      </c>
      <c r="B5" s="6" t="s">
        <v>50</v>
      </c>
      <c r="C5" s="6" t="s">
        <v>51</v>
      </c>
      <c r="D5" s="6" t="s">
        <v>53</v>
      </c>
      <c r="E5" s="6" t="s">
        <v>436</v>
      </c>
      <c r="F5" s="6" t="s">
        <v>54</v>
      </c>
      <c r="G5" s="6" t="s">
        <v>21</v>
      </c>
      <c r="H5" s="6" t="s">
        <v>49</v>
      </c>
      <c r="I5" s="6" t="s">
        <v>49</v>
      </c>
      <c r="J5" s="6" t="s">
        <v>441</v>
      </c>
      <c r="K5" s="9" t="s">
        <v>49</v>
      </c>
      <c r="L5" s="9">
        <v>695</v>
      </c>
      <c r="M5" s="14">
        <v>0.05</v>
      </c>
      <c r="N5" s="9" t="str">
        <f t="shared" ref="N5:N68" si="0">IF(OR(K5="",L5=""),"",K5*L5*(1+M5))</f>
        <v/>
      </c>
      <c r="O5" s="6" t="s">
        <v>49</v>
      </c>
      <c r="P5" s="6" t="s">
        <v>49</v>
      </c>
      <c r="Q5" s="6" t="s">
        <v>769</v>
      </c>
      <c r="R5" s="6" t="s">
        <v>770</v>
      </c>
    </row>
    <row r="6" ht="28.8" spans="1:18">
      <c r="A6" s="6" t="s">
        <v>771</v>
      </c>
      <c r="B6" s="6" t="s">
        <v>60</v>
      </c>
      <c r="C6" s="6" t="s">
        <v>61</v>
      </c>
      <c r="D6" s="6" t="s">
        <v>63</v>
      </c>
      <c r="E6" s="6" t="s">
        <v>440</v>
      </c>
      <c r="F6" s="6" t="s">
        <v>64</v>
      </c>
      <c r="G6" s="6" t="s">
        <v>20</v>
      </c>
      <c r="H6" s="6" t="s">
        <v>49</v>
      </c>
      <c r="I6" s="6" t="s">
        <v>49</v>
      </c>
      <c r="J6" s="6" t="s">
        <v>441</v>
      </c>
      <c r="K6" s="9">
        <v>0.33</v>
      </c>
      <c r="L6" s="9">
        <v>2700</v>
      </c>
      <c r="M6" s="14">
        <v>0.03</v>
      </c>
      <c r="N6" s="9">
        <f t="shared" si="0"/>
        <v>917.73</v>
      </c>
      <c r="O6" s="6">
        <v>980.1</v>
      </c>
      <c r="P6" s="6" t="s">
        <v>49</v>
      </c>
      <c r="Q6" s="6" t="s">
        <v>769</v>
      </c>
      <c r="R6" s="6" t="s">
        <v>770</v>
      </c>
    </row>
    <row r="7" ht="28.8" spans="1:18">
      <c r="A7" s="6" t="s">
        <v>772</v>
      </c>
      <c r="B7" s="6" t="s">
        <v>70</v>
      </c>
      <c r="C7" s="6" t="s">
        <v>71</v>
      </c>
      <c r="D7" s="6" t="s">
        <v>73</v>
      </c>
      <c r="E7" s="6" t="s">
        <v>443</v>
      </c>
      <c r="F7" s="6" t="s">
        <v>444</v>
      </c>
      <c r="G7" s="6" t="s">
        <v>21</v>
      </c>
      <c r="H7" s="6" t="s">
        <v>49</v>
      </c>
      <c r="I7" s="6" t="s">
        <v>49</v>
      </c>
      <c r="J7" s="6" t="s">
        <v>437</v>
      </c>
      <c r="K7" s="9">
        <v>0.9</v>
      </c>
      <c r="L7" s="9">
        <v>2400</v>
      </c>
      <c r="M7" s="14">
        <v>0.05</v>
      </c>
      <c r="N7" s="9">
        <f t="shared" si="0"/>
        <v>2268</v>
      </c>
      <c r="O7" s="6">
        <v>2376</v>
      </c>
      <c r="P7" s="6" t="s">
        <v>75</v>
      </c>
      <c r="Q7" s="6" t="s">
        <v>769</v>
      </c>
      <c r="R7" s="6" t="s">
        <v>770</v>
      </c>
    </row>
    <row r="8" ht="28.8" spans="1:18">
      <c r="A8" s="6" t="s">
        <v>773</v>
      </c>
      <c r="B8" s="6" t="s">
        <v>70</v>
      </c>
      <c r="C8" s="6" t="s">
        <v>71</v>
      </c>
      <c r="D8" s="6" t="s">
        <v>73</v>
      </c>
      <c r="E8" s="6" t="s">
        <v>445</v>
      </c>
      <c r="F8" s="6" t="s">
        <v>446</v>
      </c>
      <c r="G8" s="6" t="s">
        <v>21</v>
      </c>
      <c r="H8" s="6" t="s">
        <v>49</v>
      </c>
      <c r="I8" s="6" t="s">
        <v>49</v>
      </c>
      <c r="J8" s="6" t="s">
        <v>437</v>
      </c>
      <c r="K8" s="9">
        <v>0.02</v>
      </c>
      <c r="L8" s="9">
        <v>2400</v>
      </c>
      <c r="M8" s="14">
        <v>0.05</v>
      </c>
      <c r="N8" s="9">
        <f t="shared" si="0"/>
        <v>50.4</v>
      </c>
      <c r="O8" s="6">
        <v>52.8</v>
      </c>
      <c r="P8" s="6" t="s">
        <v>75</v>
      </c>
      <c r="Q8" s="6" t="s">
        <v>769</v>
      </c>
      <c r="R8" s="6" t="s">
        <v>770</v>
      </c>
    </row>
    <row r="9" ht="28.8" spans="1:18">
      <c r="A9" s="6" t="s">
        <v>774</v>
      </c>
      <c r="B9" s="6" t="s">
        <v>80</v>
      </c>
      <c r="C9" s="6" t="s">
        <v>81</v>
      </c>
      <c r="D9" s="6" t="s">
        <v>83</v>
      </c>
      <c r="E9" s="6" t="s">
        <v>447</v>
      </c>
      <c r="F9" s="6" t="s">
        <v>448</v>
      </c>
      <c r="G9" s="6" t="s">
        <v>21</v>
      </c>
      <c r="H9" s="6" t="s">
        <v>49</v>
      </c>
      <c r="I9" s="6" t="s">
        <v>49</v>
      </c>
      <c r="J9" s="6" t="s">
        <v>437</v>
      </c>
      <c r="K9" s="9">
        <v>1.55</v>
      </c>
      <c r="L9" s="9">
        <v>850</v>
      </c>
      <c r="M9" s="14">
        <v>0.05</v>
      </c>
      <c r="N9" s="9">
        <f t="shared" si="0"/>
        <v>1383.375</v>
      </c>
      <c r="O9" s="6">
        <v>6864</v>
      </c>
      <c r="P9" s="6" t="s">
        <v>49</v>
      </c>
      <c r="Q9" s="6" t="s">
        <v>769</v>
      </c>
      <c r="R9" s="6" t="s">
        <v>770</v>
      </c>
    </row>
    <row r="10" ht="28.8" spans="1:18">
      <c r="A10" s="6" t="s">
        <v>775</v>
      </c>
      <c r="B10" s="6" t="s">
        <v>80</v>
      </c>
      <c r="C10" s="6" t="s">
        <v>81</v>
      </c>
      <c r="D10" s="6" t="s">
        <v>83</v>
      </c>
      <c r="E10" s="6" t="s">
        <v>449</v>
      </c>
      <c r="F10" s="6" t="s">
        <v>450</v>
      </c>
      <c r="G10" s="6" t="s">
        <v>21</v>
      </c>
      <c r="H10" s="6" t="s">
        <v>49</v>
      </c>
      <c r="I10" s="6" t="s">
        <v>49</v>
      </c>
      <c r="J10" s="6" t="s">
        <v>437</v>
      </c>
      <c r="K10" s="9">
        <v>0.04</v>
      </c>
      <c r="L10" s="9">
        <v>850</v>
      </c>
      <c r="M10" s="14">
        <v>0.05</v>
      </c>
      <c r="N10" s="9">
        <f t="shared" si="0"/>
        <v>35.7</v>
      </c>
      <c r="O10" s="6">
        <v>191</v>
      </c>
      <c r="P10" s="6" t="s">
        <v>49</v>
      </c>
      <c r="Q10" s="6" t="s">
        <v>769</v>
      </c>
      <c r="R10" s="6" t="s">
        <v>770</v>
      </c>
    </row>
    <row r="11" ht="28.8" spans="1:18">
      <c r="A11" s="6" t="s">
        <v>776</v>
      </c>
      <c r="B11" s="6" t="s">
        <v>86</v>
      </c>
      <c r="C11" s="6" t="s">
        <v>87</v>
      </c>
      <c r="D11" s="6" t="s">
        <v>89</v>
      </c>
      <c r="E11" s="6" t="s">
        <v>451</v>
      </c>
      <c r="F11" s="6" t="s">
        <v>90</v>
      </c>
      <c r="G11" s="6" t="s">
        <v>20</v>
      </c>
      <c r="H11" s="6" t="s">
        <v>49</v>
      </c>
      <c r="I11" s="6" t="s">
        <v>49</v>
      </c>
      <c r="J11" s="6" t="s">
        <v>441</v>
      </c>
      <c r="K11" s="9">
        <v>0.14</v>
      </c>
      <c r="L11" s="9">
        <v>1108</v>
      </c>
      <c r="M11" s="14">
        <v>0.03</v>
      </c>
      <c r="N11" s="9">
        <f t="shared" si="0"/>
        <v>159.7736</v>
      </c>
      <c r="O11" s="6">
        <v>362</v>
      </c>
      <c r="P11" s="6" t="s">
        <v>49</v>
      </c>
      <c r="Q11" s="6" t="s">
        <v>769</v>
      </c>
      <c r="R11" s="6" t="s">
        <v>770</v>
      </c>
    </row>
    <row r="12" ht="28.8" spans="1:18">
      <c r="A12" s="6" t="s">
        <v>777</v>
      </c>
      <c r="B12" s="6" t="s">
        <v>86</v>
      </c>
      <c r="C12" s="6" t="s">
        <v>87</v>
      </c>
      <c r="D12" s="6" t="s">
        <v>89</v>
      </c>
      <c r="E12" s="6" t="s">
        <v>452</v>
      </c>
      <c r="F12" s="6" t="s">
        <v>90</v>
      </c>
      <c r="G12" s="6" t="s">
        <v>20</v>
      </c>
      <c r="H12" s="6" t="s">
        <v>49</v>
      </c>
      <c r="I12" s="6" t="s">
        <v>49</v>
      </c>
      <c r="J12" s="6" t="s">
        <v>441</v>
      </c>
      <c r="K12" s="9">
        <v>0.142</v>
      </c>
      <c r="L12" s="9">
        <v>1108</v>
      </c>
      <c r="M12" s="14">
        <v>0.03</v>
      </c>
      <c r="N12" s="9">
        <f t="shared" si="0"/>
        <v>162.05608</v>
      </c>
      <c r="O12" s="6">
        <v>362</v>
      </c>
      <c r="P12" s="6" t="s">
        <v>49</v>
      </c>
      <c r="Q12" s="6" t="s">
        <v>769</v>
      </c>
      <c r="R12" s="6" t="s">
        <v>770</v>
      </c>
    </row>
    <row r="13" ht="28.8" spans="1:18">
      <c r="A13" s="6" t="s">
        <v>778</v>
      </c>
      <c r="B13" s="6" t="s">
        <v>91</v>
      </c>
      <c r="C13" s="6" t="s">
        <v>92</v>
      </c>
      <c r="D13" s="6" t="s">
        <v>94</v>
      </c>
      <c r="E13" s="6" t="s">
        <v>453</v>
      </c>
      <c r="F13" s="6" t="s">
        <v>95</v>
      </c>
      <c r="G13" s="6" t="s">
        <v>21</v>
      </c>
      <c r="H13" s="6" t="s">
        <v>49</v>
      </c>
      <c r="I13" s="6" t="s">
        <v>49</v>
      </c>
      <c r="J13" s="6" t="s">
        <v>437</v>
      </c>
      <c r="K13" s="9">
        <v>0.161</v>
      </c>
      <c r="L13" s="9">
        <v>1628</v>
      </c>
      <c r="M13" s="14">
        <v>0.05</v>
      </c>
      <c r="N13" s="9">
        <f t="shared" si="0"/>
        <v>275.2134</v>
      </c>
      <c r="O13" s="6">
        <v>3027</v>
      </c>
      <c r="P13" s="6" t="s">
        <v>49</v>
      </c>
      <c r="Q13" s="6" t="s">
        <v>769</v>
      </c>
      <c r="R13" s="6" t="s">
        <v>770</v>
      </c>
    </row>
    <row r="14" ht="28.8" spans="1:18">
      <c r="A14" s="6" t="s">
        <v>779</v>
      </c>
      <c r="B14" s="6" t="s">
        <v>97</v>
      </c>
      <c r="C14" s="6" t="s">
        <v>98</v>
      </c>
      <c r="D14" s="6" t="s">
        <v>100</v>
      </c>
      <c r="E14" s="6" t="s">
        <v>454</v>
      </c>
      <c r="F14" s="6" t="s">
        <v>455</v>
      </c>
      <c r="G14" s="6" t="s">
        <v>20</v>
      </c>
      <c r="H14" s="6" t="s">
        <v>49</v>
      </c>
      <c r="I14" s="6" t="s">
        <v>49</v>
      </c>
      <c r="J14" s="6" t="s">
        <v>441</v>
      </c>
      <c r="K14" s="9">
        <v>1.7</v>
      </c>
      <c r="L14" s="9">
        <v>30</v>
      </c>
      <c r="M14" s="14">
        <v>0.03</v>
      </c>
      <c r="N14" s="9">
        <f t="shared" si="0"/>
        <v>52.53</v>
      </c>
      <c r="O14" s="6" t="s">
        <v>49</v>
      </c>
      <c r="P14" s="6" t="s">
        <v>49</v>
      </c>
      <c r="Q14" s="6" t="s">
        <v>769</v>
      </c>
      <c r="R14" s="6" t="s">
        <v>770</v>
      </c>
    </row>
    <row r="15" ht="28.8" spans="1:18">
      <c r="A15" s="6" t="s">
        <v>780</v>
      </c>
      <c r="B15" s="6" t="s">
        <v>97</v>
      </c>
      <c r="C15" s="6" t="s">
        <v>98</v>
      </c>
      <c r="D15" s="6" t="s">
        <v>100</v>
      </c>
      <c r="E15" s="6" t="s">
        <v>456</v>
      </c>
      <c r="F15" s="6" t="s">
        <v>457</v>
      </c>
      <c r="G15" s="6" t="s">
        <v>22</v>
      </c>
      <c r="H15" s="6" t="s">
        <v>49</v>
      </c>
      <c r="I15" s="6" t="s">
        <v>49</v>
      </c>
      <c r="J15" s="6" t="s">
        <v>441</v>
      </c>
      <c r="K15" s="9">
        <v>0.26</v>
      </c>
      <c r="L15" s="9">
        <v>30</v>
      </c>
      <c r="M15" s="14">
        <v>0.05</v>
      </c>
      <c r="N15" s="9">
        <f t="shared" si="0"/>
        <v>8.19</v>
      </c>
      <c r="O15" s="6" t="s">
        <v>49</v>
      </c>
      <c r="P15" s="6" t="s">
        <v>49</v>
      </c>
      <c r="Q15" s="6" t="s">
        <v>769</v>
      </c>
      <c r="R15" s="6" t="s">
        <v>770</v>
      </c>
    </row>
    <row r="16" ht="28.8" spans="1:18">
      <c r="A16" s="6" t="s">
        <v>781</v>
      </c>
      <c r="B16" s="6" t="s">
        <v>97</v>
      </c>
      <c r="C16" s="6" t="s">
        <v>98</v>
      </c>
      <c r="D16" s="6" t="s">
        <v>100</v>
      </c>
      <c r="E16" s="6" t="s">
        <v>460</v>
      </c>
      <c r="F16" s="6" t="s">
        <v>461</v>
      </c>
      <c r="G16" s="6" t="s">
        <v>21</v>
      </c>
      <c r="H16" s="6" t="s">
        <v>49</v>
      </c>
      <c r="I16" s="6" t="s">
        <v>49</v>
      </c>
      <c r="J16" s="6" t="s">
        <v>441</v>
      </c>
      <c r="K16" s="9">
        <v>0.15</v>
      </c>
      <c r="L16" s="9">
        <v>30</v>
      </c>
      <c r="M16" s="14">
        <v>0.05</v>
      </c>
      <c r="N16" s="9">
        <f t="shared" si="0"/>
        <v>4.725</v>
      </c>
      <c r="O16" s="6" t="s">
        <v>49</v>
      </c>
      <c r="P16" s="6" t="s">
        <v>49</v>
      </c>
      <c r="Q16" s="6" t="s">
        <v>769</v>
      </c>
      <c r="R16" s="6" t="s">
        <v>770</v>
      </c>
    </row>
    <row r="17" ht="28.8" spans="1:18">
      <c r="A17" s="6" t="s">
        <v>782</v>
      </c>
      <c r="B17" s="6" t="s">
        <v>103</v>
      </c>
      <c r="C17" s="6" t="s">
        <v>104</v>
      </c>
      <c r="D17" s="6" t="s">
        <v>106</v>
      </c>
      <c r="E17" s="6" t="s">
        <v>462</v>
      </c>
      <c r="F17" s="6" t="s">
        <v>463</v>
      </c>
      <c r="G17" s="6" t="s">
        <v>21</v>
      </c>
      <c r="H17" s="6" t="s">
        <v>49</v>
      </c>
      <c r="I17" s="6" t="s">
        <v>49</v>
      </c>
      <c r="J17" s="6" t="s">
        <v>437</v>
      </c>
      <c r="K17" s="9">
        <v>1.1</v>
      </c>
      <c r="L17" s="9">
        <v>188</v>
      </c>
      <c r="M17" s="14">
        <v>0.05</v>
      </c>
      <c r="N17" s="9">
        <f t="shared" si="0"/>
        <v>217.14</v>
      </c>
      <c r="O17" s="6">
        <v>208</v>
      </c>
      <c r="P17" s="6" t="s">
        <v>49</v>
      </c>
      <c r="Q17" s="6" t="s">
        <v>769</v>
      </c>
      <c r="R17" s="6" t="s">
        <v>49</v>
      </c>
    </row>
    <row r="18" ht="28.8" spans="1:18">
      <c r="A18" s="6" t="s">
        <v>783</v>
      </c>
      <c r="B18" s="6" t="s">
        <v>103</v>
      </c>
      <c r="C18" s="6" t="s">
        <v>104</v>
      </c>
      <c r="D18" s="6" t="s">
        <v>106</v>
      </c>
      <c r="E18" s="6" t="s">
        <v>464</v>
      </c>
      <c r="F18" s="6" t="s">
        <v>465</v>
      </c>
      <c r="G18" s="6" t="s">
        <v>21</v>
      </c>
      <c r="H18" s="6" t="s">
        <v>49</v>
      </c>
      <c r="I18" s="6" t="s">
        <v>49</v>
      </c>
      <c r="J18" s="6" t="s">
        <v>437</v>
      </c>
      <c r="K18" s="9">
        <v>0.18</v>
      </c>
      <c r="L18" s="9">
        <v>188</v>
      </c>
      <c r="M18" s="14">
        <v>0.05</v>
      </c>
      <c r="N18" s="9">
        <f t="shared" si="0"/>
        <v>35.532</v>
      </c>
      <c r="O18" s="6">
        <v>38</v>
      </c>
      <c r="P18" s="6" t="s">
        <v>49</v>
      </c>
      <c r="Q18" s="6" t="s">
        <v>769</v>
      </c>
      <c r="R18" s="6" t="s">
        <v>49</v>
      </c>
    </row>
    <row r="19" ht="28.8" spans="1:18">
      <c r="A19" s="6" t="s">
        <v>784</v>
      </c>
      <c r="B19" s="6" t="s">
        <v>109</v>
      </c>
      <c r="C19" s="6" t="s">
        <v>110</v>
      </c>
      <c r="D19" s="6" t="s">
        <v>112</v>
      </c>
      <c r="E19" s="6" t="s">
        <v>466</v>
      </c>
      <c r="F19" s="6" t="s">
        <v>455</v>
      </c>
      <c r="G19" s="6" t="s">
        <v>20</v>
      </c>
      <c r="H19" s="6" t="s">
        <v>49</v>
      </c>
      <c r="I19" s="6" t="s">
        <v>49</v>
      </c>
      <c r="J19" s="6" t="s">
        <v>441</v>
      </c>
      <c r="K19" s="9">
        <v>1.92</v>
      </c>
      <c r="L19" s="9">
        <v>30</v>
      </c>
      <c r="M19" s="14">
        <v>0.03</v>
      </c>
      <c r="N19" s="9">
        <f t="shared" si="0"/>
        <v>59.328</v>
      </c>
      <c r="O19" s="6" t="s">
        <v>49</v>
      </c>
      <c r="P19" s="6" t="s">
        <v>49</v>
      </c>
      <c r="Q19" s="6" t="s">
        <v>769</v>
      </c>
      <c r="R19" s="6" t="s">
        <v>49</v>
      </c>
    </row>
    <row r="20" ht="28.8" spans="1:18">
      <c r="A20" s="6" t="s">
        <v>785</v>
      </c>
      <c r="B20" s="6" t="s">
        <v>109</v>
      </c>
      <c r="C20" s="6" t="s">
        <v>110</v>
      </c>
      <c r="D20" s="6" t="s">
        <v>112</v>
      </c>
      <c r="E20" s="6" t="s">
        <v>467</v>
      </c>
      <c r="F20" s="6" t="s">
        <v>468</v>
      </c>
      <c r="G20" s="6" t="s">
        <v>21</v>
      </c>
      <c r="H20" s="6" t="s">
        <v>49</v>
      </c>
      <c r="I20" s="6" t="s">
        <v>49</v>
      </c>
      <c r="J20" s="6" t="s">
        <v>441</v>
      </c>
      <c r="K20" s="9">
        <v>0.26</v>
      </c>
      <c r="L20" s="9">
        <v>30</v>
      </c>
      <c r="M20" s="14">
        <v>0.05</v>
      </c>
      <c r="N20" s="9">
        <f t="shared" si="0"/>
        <v>8.19</v>
      </c>
      <c r="O20" s="6" t="s">
        <v>49</v>
      </c>
      <c r="P20" s="6" t="s">
        <v>49</v>
      </c>
      <c r="Q20" s="6" t="s">
        <v>769</v>
      </c>
      <c r="R20" s="6" t="s">
        <v>49</v>
      </c>
    </row>
    <row r="21" ht="28.8" spans="1:18">
      <c r="A21" s="6" t="s">
        <v>786</v>
      </c>
      <c r="B21" s="6" t="s">
        <v>109</v>
      </c>
      <c r="C21" s="6" t="s">
        <v>110</v>
      </c>
      <c r="D21" s="6" t="s">
        <v>112</v>
      </c>
      <c r="E21" s="6" t="s">
        <v>469</v>
      </c>
      <c r="F21" s="6" t="s">
        <v>455</v>
      </c>
      <c r="G21" s="6" t="s">
        <v>20</v>
      </c>
      <c r="H21" s="6" t="s">
        <v>49</v>
      </c>
      <c r="I21" s="6" t="s">
        <v>49</v>
      </c>
      <c r="J21" s="6" t="s">
        <v>441</v>
      </c>
      <c r="K21" s="9">
        <v>0.16</v>
      </c>
      <c r="L21" s="9">
        <v>30</v>
      </c>
      <c r="M21" s="14">
        <v>0.03</v>
      </c>
      <c r="N21" s="9">
        <f t="shared" si="0"/>
        <v>4.944</v>
      </c>
      <c r="O21" s="6" t="s">
        <v>49</v>
      </c>
      <c r="P21" s="6" t="s">
        <v>49</v>
      </c>
      <c r="Q21" s="6" t="s">
        <v>769</v>
      </c>
      <c r="R21" s="6" t="s">
        <v>49</v>
      </c>
    </row>
    <row r="22" ht="28.8" spans="1:18">
      <c r="A22" s="6" t="s">
        <v>787</v>
      </c>
      <c r="B22" s="6" t="s">
        <v>115</v>
      </c>
      <c r="C22" s="6" t="s">
        <v>116</v>
      </c>
      <c r="D22" s="6" t="s">
        <v>118</v>
      </c>
      <c r="E22" s="6" t="s">
        <v>470</v>
      </c>
      <c r="F22" s="6" t="s">
        <v>471</v>
      </c>
      <c r="G22" s="6" t="s">
        <v>20</v>
      </c>
      <c r="H22" s="6" t="s">
        <v>49</v>
      </c>
      <c r="I22" s="6" t="s">
        <v>49</v>
      </c>
      <c r="J22" s="6" t="s">
        <v>441</v>
      </c>
      <c r="K22" s="9">
        <v>0.16</v>
      </c>
      <c r="L22" s="9">
        <v>300</v>
      </c>
      <c r="M22" s="14">
        <v>0.03</v>
      </c>
      <c r="N22" s="9">
        <f t="shared" si="0"/>
        <v>49.44</v>
      </c>
      <c r="O22" s="6">
        <v>52.16</v>
      </c>
      <c r="P22" s="6" t="s">
        <v>120</v>
      </c>
      <c r="Q22" s="6" t="s">
        <v>769</v>
      </c>
      <c r="R22" s="6" t="s">
        <v>49</v>
      </c>
    </row>
    <row r="23" ht="28.8" spans="1:18">
      <c r="A23" s="6" t="s">
        <v>788</v>
      </c>
      <c r="B23" s="6" t="s">
        <v>115</v>
      </c>
      <c r="C23" s="6" t="s">
        <v>116</v>
      </c>
      <c r="D23" s="6" t="s">
        <v>118</v>
      </c>
      <c r="E23" s="6" t="s">
        <v>472</v>
      </c>
      <c r="F23" s="6" t="s">
        <v>473</v>
      </c>
      <c r="G23" s="6" t="s">
        <v>20</v>
      </c>
      <c r="H23" s="6" t="s">
        <v>49</v>
      </c>
      <c r="I23" s="6" t="s">
        <v>49</v>
      </c>
      <c r="J23" s="6" t="s">
        <v>441</v>
      </c>
      <c r="K23" s="9">
        <v>0.19</v>
      </c>
      <c r="L23" s="9">
        <v>300</v>
      </c>
      <c r="M23" s="14">
        <v>0.03</v>
      </c>
      <c r="N23" s="9">
        <f t="shared" si="0"/>
        <v>58.71</v>
      </c>
      <c r="O23" s="6">
        <v>123.46</v>
      </c>
      <c r="P23" s="6" t="s">
        <v>120</v>
      </c>
      <c r="Q23" s="6" t="s">
        <v>769</v>
      </c>
      <c r="R23" s="6" t="s">
        <v>49</v>
      </c>
    </row>
    <row r="24" ht="28.8" spans="1:18">
      <c r="A24" s="6" t="s">
        <v>789</v>
      </c>
      <c r="B24" s="6" t="s">
        <v>115</v>
      </c>
      <c r="C24" s="6" t="s">
        <v>116</v>
      </c>
      <c r="D24" s="6" t="s">
        <v>118</v>
      </c>
      <c r="E24" s="6" t="s">
        <v>474</v>
      </c>
      <c r="F24" s="6" t="s">
        <v>475</v>
      </c>
      <c r="G24" s="6" t="s">
        <v>20</v>
      </c>
      <c r="H24" s="6" t="s">
        <v>49</v>
      </c>
      <c r="I24" s="6" t="s">
        <v>49</v>
      </c>
      <c r="J24" s="6" t="s">
        <v>441</v>
      </c>
      <c r="K24" s="9">
        <v>0.02</v>
      </c>
      <c r="L24" s="9">
        <v>300</v>
      </c>
      <c r="M24" s="14">
        <v>0.03</v>
      </c>
      <c r="N24" s="9">
        <f t="shared" si="0"/>
        <v>6.18</v>
      </c>
      <c r="O24" s="6">
        <v>16.53</v>
      </c>
      <c r="P24" s="6" t="s">
        <v>120</v>
      </c>
      <c r="Q24" s="6" t="s">
        <v>769</v>
      </c>
      <c r="R24" s="6" t="s">
        <v>49</v>
      </c>
    </row>
    <row r="25" ht="28.8" spans="1:18">
      <c r="A25" s="6" t="s">
        <v>790</v>
      </c>
      <c r="B25" s="6" t="s">
        <v>122</v>
      </c>
      <c r="C25" s="6" t="s">
        <v>123</v>
      </c>
      <c r="D25" s="6" t="s">
        <v>125</v>
      </c>
      <c r="E25" s="6" t="s">
        <v>476</v>
      </c>
      <c r="F25" s="6" t="s">
        <v>126</v>
      </c>
      <c r="G25" s="6" t="s">
        <v>22</v>
      </c>
      <c r="H25" s="6" t="s">
        <v>49</v>
      </c>
      <c r="I25" s="6" t="s">
        <v>49</v>
      </c>
      <c r="J25" s="6" t="s">
        <v>441</v>
      </c>
      <c r="K25" s="9">
        <v>0.95</v>
      </c>
      <c r="L25" s="9">
        <v>750</v>
      </c>
      <c r="M25" s="14">
        <v>0.05</v>
      </c>
      <c r="N25" s="9">
        <f t="shared" si="0"/>
        <v>748.125</v>
      </c>
      <c r="O25" s="6">
        <v>836</v>
      </c>
      <c r="P25" s="6" t="s">
        <v>49</v>
      </c>
      <c r="Q25" s="6" t="s">
        <v>769</v>
      </c>
      <c r="R25" s="6" t="s">
        <v>49</v>
      </c>
    </row>
    <row r="26" ht="28.8" spans="1:18">
      <c r="A26" s="6" t="s">
        <v>791</v>
      </c>
      <c r="B26" s="6" t="s">
        <v>128</v>
      </c>
      <c r="C26" s="6" t="s">
        <v>129</v>
      </c>
      <c r="D26" s="6" t="s">
        <v>131</v>
      </c>
      <c r="E26" s="6" t="s">
        <v>477</v>
      </c>
      <c r="F26" s="6" t="s">
        <v>478</v>
      </c>
      <c r="G26" s="6" t="s">
        <v>21</v>
      </c>
      <c r="H26" s="6" t="s">
        <v>49</v>
      </c>
      <c r="I26" s="6" t="s">
        <v>49</v>
      </c>
      <c r="J26" s="6" t="s">
        <v>437</v>
      </c>
      <c r="K26" s="9">
        <v>0.74</v>
      </c>
      <c r="L26" s="9">
        <v>1500</v>
      </c>
      <c r="M26" s="14">
        <v>0.05</v>
      </c>
      <c r="N26" s="9">
        <f t="shared" si="0"/>
        <v>1165.5</v>
      </c>
      <c r="O26" s="6">
        <v>1221</v>
      </c>
      <c r="P26" s="6" t="s">
        <v>49</v>
      </c>
      <c r="Q26" s="6" t="s">
        <v>769</v>
      </c>
      <c r="R26" s="6" t="s">
        <v>49</v>
      </c>
    </row>
    <row r="27" ht="28.8" spans="1:18">
      <c r="A27" s="6" t="s">
        <v>792</v>
      </c>
      <c r="B27" s="6" t="s">
        <v>128</v>
      </c>
      <c r="C27" s="6" t="s">
        <v>129</v>
      </c>
      <c r="D27" s="6" t="s">
        <v>131</v>
      </c>
      <c r="E27" s="6" t="s">
        <v>479</v>
      </c>
      <c r="F27" s="6" t="s">
        <v>480</v>
      </c>
      <c r="G27" s="6" t="s">
        <v>21</v>
      </c>
      <c r="H27" s="6" t="s">
        <v>49</v>
      </c>
      <c r="I27" s="6" t="s">
        <v>49</v>
      </c>
      <c r="J27" s="6" t="s">
        <v>437</v>
      </c>
      <c r="K27" s="9">
        <v>0.03</v>
      </c>
      <c r="L27" s="9">
        <v>1500</v>
      </c>
      <c r="M27" s="14">
        <v>0.05</v>
      </c>
      <c r="N27" s="9">
        <f t="shared" si="0"/>
        <v>47.25</v>
      </c>
      <c r="O27" s="6">
        <v>49.5</v>
      </c>
      <c r="P27" s="6" t="s">
        <v>49</v>
      </c>
      <c r="Q27" s="6" t="s">
        <v>769</v>
      </c>
      <c r="R27" s="6" t="s">
        <v>49</v>
      </c>
    </row>
    <row r="28" ht="28.8" spans="1:18">
      <c r="A28" s="6" t="s">
        <v>793</v>
      </c>
      <c r="B28" s="6" t="s">
        <v>135</v>
      </c>
      <c r="C28" s="6" t="s">
        <v>136</v>
      </c>
      <c r="D28" s="6" t="s">
        <v>137</v>
      </c>
      <c r="E28" s="6" t="s">
        <v>481</v>
      </c>
      <c r="F28" s="6" t="s">
        <v>138</v>
      </c>
      <c r="G28" s="6" t="s">
        <v>22</v>
      </c>
      <c r="H28" s="6" t="s">
        <v>49</v>
      </c>
      <c r="I28" s="6" t="s">
        <v>49</v>
      </c>
      <c r="J28" s="6" t="s">
        <v>441</v>
      </c>
      <c r="K28" s="9">
        <v>0.93</v>
      </c>
      <c r="L28" s="9">
        <v>2000</v>
      </c>
      <c r="M28" s="14">
        <v>0.05</v>
      </c>
      <c r="N28" s="9">
        <f t="shared" si="0"/>
        <v>1953</v>
      </c>
      <c r="O28" s="6">
        <v>2046</v>
      </c>
      <c r="P28" s="6" t="s">
        <v>49</v>
      </c>
      <c r="Q28" s="6" t="s">
        <v>769</v>
      </c>
      <c r="R28" s="6" t="s">
        <v>49</v>
      </c>
    </row>
    <row r="29" ht="28.8" spans="1:18">
      <c r="A29" s="6" t="s">
        <v>794</v>
      </c>
      <c r="B29" s="6" t="s">
        <v>142</v>
      </c>
      <c r="C29" s="6" t="s">
        <v>143</v>
      </c>
      <c r="D29" s="6" t="s">
        <v>145</v>
      </c>
      <c r="E29" s="6" t="s">
        <v>482</v>
      </c>
      <c r="F29" s="6" t="s">
        <v>146</v>
      </c>
      <c r="G29" s="6" t="s">
        <v>21</v>
      </c>
      <c r="H29" s="6" t="s">
        <v>49</v>
      </c>
      <c r="I29" s="6" t="s">
        <v>49</v>
      </c>
      <c r="J29" s="6" t="s">
        <v>437</v>
      </c>
      <c r="K29" s="9">
        <v>0.75</v>
      </c>
      <c r="L29" s="9">
        <v>1037</v>
      </c>
      <c r="M29" s="14">
        <v>0.05</v>
      </c>
      <c r="N29" s="9">
        <f t="shared" si="0"/>
        <v>816.6375</v>
      </c>
      <c r="O29" s="6">
        <v>855.51</v>
      </c>
      <c r="P29" s="6" t="s">
        <v>49</v>
      </c>
      <c r="Q29" s="6" t="s">
        <v>769</v>
      </c>
      <c r="R29" s="6" t="s">
        <v>49</v>
      </c>
    </row>
    <row r="30" ht="28.8" spans="1:18">
      <c r="A30" s="6" t="s">
        <v>795</v>
      </c>
      <c r="B30" s="6" t="s">
        <v>148</v>
      </c>
      <c r="C30" s="6" t="s">
        <v>149</v>
      </c>
      <c r="D30" s="6" t="s">
        <v>151</v>
      </c>
      <c r="E30" s="6" t="s">
        <v>483</v>
      </c>
      <c r="F30" s="6" t="s">
        <v>484</v>
      </c>
      <c r="G30" s="6" t="s">
        <v>21</v>
      </c>
      <c r="H30" s="6" t="s">
        <v>49</v>
      </c>
      <c r="I30" s="6" t="s">
        <v>49</v>
      </c>
      <c r="J30" s="6" t="s">
        <v>437</v>
      </c>
      <c r="K30" s="9">
        <v>0.55</v>
      </c>
      <c r="L30" s="9">
        <v>628</v>
      </c>
      <c r="M30" s="14">
        <v>0.05</v>
      </c>
      <c r="N30" s="9">
        <f t="shared" si="0"/>
        <v>362.67</v>
      </c>
      <c r="O30" s="6">
        <v>379.95</v>
      </c>
      <c r="P30" s="6" t="s">
        <v>49</v>
      </c>
      <c r="Q30" s="6" t="s">
        <v>769</v>
      </c>
      <c r="R30" s="6" t="s">
        <v>49</v>
      </c>
    </row>
    <row r="31" ht="28.8" spans="1:18">
      <c r="A31" s="6" t="s">
        <v>796</v>
      </c>
      <c r="B31" s="6" t="s">
        <v>148</v>
      </c>
      <c r="C31" s="6" t="s">
        <v>149</v>
      </c>
      <c r="D31" s="6" t="s">
        <v>151</v>
      </c>
      <c r="E31" s="6" t="s">
        <v>485</v>
      </c>
      <c r="F31" s="6" t="s">
        <v>486</v>
      </c>
      <c r="G31" s="6" t="s">
        <v>21</v>
      </c>
      <c r="H31" s="6" t="s">
        <v>49</v>
      </c>
      <c r="I31" s="6" t="s">
        <v>49</v>
      </c>
      <c r="J31" s="6" t="s">
        <v>437</v>
      </c>
      <c r="K31" s="9">
        <v>0.18</v>
      </c>
      <c r="L31" s="9">
        <v>628</v>
      </c>
      <c r="M31" s="14">
        <v>0.05</v>
      </c>
      <c r="N31" s="9">
        <f t="shared" si="0"/>
        <v>118.692</v>
      </c>
      <c r="O31" s="6">
        <v>124.36</v>
      </c>
      <c r="P31" s="6" t="s">
        <v>49</v>
      </c>
      <c r="Q31" s="6" t="s">
        <v>769</v>
      </c>
      <c r="R31" s="6" t="s">
        <v>49</v>
      </c>
    </row>
    <row r="32" ht="28.8" spans="1:18">
      <c r="A32" s="6" t="s">
        <v>797</v>
      </c>
      <c r="B32" s="6" t="s">
        <v>157</v>
      </c>
      <c r="C32" s="6" t="s">
        <v>158</v>
      </c>
      <c r="D32" s="6" t="s">
        <v>160</v>
      </c>
      <c r="E32" s="6" t="s">
        <v>487</v>
      </c>
      <c r="F32" s="6" t="s">
        <v>161</v>
      </c>
      <c r="G32" s="6" t="s">
        <v>20</v>
      </c>
      <c r="H32" s="6" t="s">
        <v>49</v>
      </c>
      <c r="I32" s="6" t="s">
        <v>49</v>
      </c>
      <c r="J32" s="6" t="s">
        <v>441</v>
      </c>
      <c r="K32" s="9">
        <v>0.72</v>
      </c>
      <c r="L32" s="9">
        <v>50</v>
      </c>
      <c r="M32" s="14">
        <v>0.03</v>
      </c>
      <c r="N32" s="9">
        <f t="shared" si="0"/>
        <v>37.08</v>
      </c>
      <c r="O32" s="6">
        <v>40.68</v>
      </c>
      <c r="P32" s="6" t="s">
        <v>49</v>
      </c>
      <c r="Q32" s="6" t="s">
        <v>769</v>
      </c>
      <c r="R32" s="6" t="s">
        <v>49</v>
      </c>
    </row>
    <row r="33" ht="28.8" spans="1:18">
      <c r="A33" s="6" t="s">
        <v>798</v>
      </c>
      <c r="B33" s="6" t="s">
        <v>157</v>
      </c>
      <c r="C33" s="6" t="s">
        <v>158</v>
      </c>
      <c r="D33" s="6" t="s">
        <v>160</v>
      </c>
      <c r="E33" s="6" t="s">
        <v>488</v>
      </c>
      <c r="F33" s="6" t="s">
        <v>161</v>
      </c>
      <c r="G33" s="6" t="s">
        <v>20</v>
      </c>
      <c r="H33" s="6" t="s">
        <v>49</v>
      </c>
      <c r="I33" s="6" t="s">
        <v>49</v>
      </c>
      <c r="J33" s="6" t="s">
        <v>441</v>
      </c>
      <c r="K33" s="9">
        <v>0.72</v>
      </c>
      <c r="L33" s="9">
        <v>50</v>
      </c>
      <c r="M33" s="14">
        <v>0.03</v>
      </c>
      <c r="N33" s="9">
        <f t="shared" si="0"/>
        <v>37.08</v>
      </c>
      <c r="O33" s="6">
        <v>0.29</v>
      </c>
      <c r="P33" s="6" t="s">
        <v>49</v>
      </c>
      <c r="Q33" s="6" t="s">
        <v>769</v>
      </c>
      <c r="R33" s="6" t="s">
        <v>49</v>
      </c>
    </row>
    <row r="34" ht="28.8" spans="1:18">
      <c r="A34" s="6" t="s">
        <v>799</v>
      </c>
      <c r="B34" s="6" t="s">
        <v>163</v>
      </c>
      <c r="C34" s="6" t="s">
        <v>164</v>
      </c>
      <c r="D34" s="6" t="s">
        <v>166</v>
      </c>
      <c r="E34" s="6" t="s">
        <v>489</v>
      </c>
      <c r="F34" s="6" t="s">
        <v>161</v>
      </c>
      <c r="G34" s="6" t="s">
        <v>20</v>
      </c>
      <c r="H34" s="6" t="s">
        <v>49</v>
      </c>
      <c r="I34" s="6" t="s">
        <v>49</v>
      </c>
      <c r="J34" s="6" t="s">
        <v>437</v>
      </c>
      <c r="K34" s="9">
        <v>0.955</v>
      </c>
      <c r="L34" s="9">
        <v>50</v>
      </c>
      <c r="M34" s="14">
        <v>0.03</v>
      </c>
      <c r="N34" s="9">
        <f t="shared" si="0"/>
        <v>49.1825</v>
      </c>
      <c r="O34" s="6">
        <v>36</v>
      </c>
      <c r="P34" s="6" t="s">
        <v>49</v>
      </c>
      <c r="Q34" s="6" t="s">
        <v>769</v>
      </c>
      <c r="R34" s="6" t="s">
        <v>49</v>
      </c>
    </row>
    <row r="35" ht="28.8" spans="1:18">
      <c r="A35" s="6" t="s">
        <v>800</v>
      </c>
      <c r="B35" s="6" t="s">
        <v>163</v>
      </c>
      <c r="C35" s="6" t="s">
        <v>164</v>
      </c>
      <c r="D35" s="6" t="s">
        <v>166</v>
      </c>
      <c r="E35" s="6" t="s">
        <v>490</v>
      </c>
      <c r="F35" s="6" t="s">
        <v>161</v>
      </c>
      <c r="G35" s="6" t="s">
        <v>20</v>
      </c>
      <c r="H35" s="6" t="s">
        <v>49</v>
      </c>
      <c r="I35" s="6" t="s">
        <v>49</v>
      </c>
      <c r="J35" s="6" t="s">
        <v>441</v>
      </c>
      <c r="K35" s="9">
        <v>0.955</v>
      </c>
      <c r="L35" s="9">
        <v>50</v>
      </c>
      <c r="M35" s="14">
        <v>0.03</v>
      </c>
      <c r="N35" s="9">
        <f t="shared" si="0"/>
        <v>49.1825</v>
      </c>
      <c r="O35" s="6">
        <v>50</v>
      </c>
      <c r="P35" s="6" t="s">
        <v>49</v>
      </c>
      <c r="Q35" s="6" t="s">
        <v>769</v>
      </c>
      <c r="R35" s="6" t="s">
        <v>49</v>
      </c>
    </row>
    <row r="36" ht="28.8" spans="1:18">
      <c r="A36" s="6" t="s">
        <v>801</v>
      </c>
      <c r="B36" s="6" t="s">
        <v>167</v>
      </c>
      <c r="C36" s="6" t="s">
        <v>168</v>
      </c>
      <c r="D36" s="6" t="s">
        <v>170</v>
      </c>
      <c r="E36" s="6" t="s">
        <v>491</v>
      </c>
      <c r="F36" s="6" t="s">
        <v>161</v>
      </c>
      <c r="G36" s="6" t="s">
        <v>20</v>
      </c>
      <c r="H36" s="6" t="s">
        <v>49</v>
      </c>
      <c r="I36" s="6" t="s">
        <v>49</v>
      </c>
      <c r="J36" s="6" t="s">
        <v>441</v>
      </c>
      <c r="K36" s="9">
        <v>0.86</v>
      </c>
      <c r="L36" s="9">
        <v>50</v>
      </c>
      <c r="M36" s="14">
        <v>0.03</v>
      </c>
      <c r="N36" s="9">
        <f t="shared" si="0"/>
        <v>44.29</v>
      </c>
      <c r="O36" s="6">
        <v>53.96</v>
      </c>
      <c r="P36" s="6" t="s">
        <v>49</v>
      </c>
      <c r="Q36" s="6" t="s">
        <v>769</v>
      </c>
      <c r="R36" s="6" t="s">
        <v>49</v>
      </c>
    </row>
    <row r="37" ht="28.8" spans="1:18">
      <c r="A37" s="6" t="s">
        <v>802</v>
      </c>
      <c r="B37" s="6" t="s">
        <v>167</v>
      </c>
      <c r="C37" s="6" t="s">
        <v>168</v>
      </c>
      <c r="D37" s="6" t="s">
        <v>170</v>
      </c>
      <c r="E37" s="6" t="s">
        <v>492</v>
      </c>
      <c r="F37" s="6" t="s">
        <v>493</v>
      </c>
      <c r="G37" s="6" t="s">
        <v>21</v>
      </c>
      <c r="H37" s="6" t="s">
        <v>49</v>
      </c>
      <c r="I37" s="6" t="s">
        <v>49</v>
      </c>
      <c r="J37" s="6" t="s">
        <v>437</v>
      </c>
      <c r="K37" s="9">
        <v>0.86</v>
      </c>
      <c r="L37" s="9">
        <v>50</v>
      </c>
      <c r="M37" s="14">
        <v>0.05</v>
      </c>
      <c r="N37" s="9">
        <f t="shared" si="0"/>
        <v>45.15</v>
      </c>
      <c r="O37" s="6">
        <v>44</v>
      </c>
      <c r="P37" s="6" t="s">
        <v>49</v>
      </c>
      <c r="Q37" s="6" t="s">
        <v>769</v>
      </c>
      <c r="R37" s="6" t="s">
        <v>49</v>
      </c>
    </row>
    <row r="38" ht="28.8" spans="1:18">
      <c r="A38" s="6" t="s">
        <v>803</v>
      </c>
      <c r="B38" s="6" t="s">
        <v>167</v>
      </c>
      <c r="C38" s="6" t="s">
        <v>168</v>
      </c>
      <c r="D38" s="6" t="s">
        <v>170</v>
      </c>
      <c r="E38" s="6" t="s">
        <v>494</v>
      </c>
      <c r="F38" s="6" t="s">
        <v>161</v>
      </c>
      <c r="G38" s="6" t="s">
        <v>20</v>
      </c>
      <c r="H38" s="6" t="s">
        <v>49</v>
      </c>
      <c r="I38" s="6" t="s">
        <v>49</v>
      </c>
      <c r="J38" s="6" t="s">
        <v>441</v>
      </c>
      <c r="K38" s="9">
        <v>0.86</v>
      </c>
      <c r="L38" s="9">
        <v>50</v>
      </c>
      <c r="M38" s="14">
        <v>0.03</v>
      </c>
      <c r="N38" s="9">
        <f t="shared" si="0"/>
        <v>44.29</v>
      </c>
      <c r="O38" s="6">
        <v>0.46</v>
      </c>
      <c r="P38" s="6" t="s">
        <v>49</v>
      </c>
      <c r="Q38" s="6" t="s">
        <v>769</v>
      </c>
      <c r="R38" s="6" t="s">
        <v>49</v>
      </c>
    </row>
    <row r="39" ht="28.8" spans="1:18">
      <c r="A39" s="6" t="s">
        <v>804</v>
      </c>
      <c r="B39" s="6" t="s">
        <v>172</v>
      </c>
      <c r="C39" s="6" t="s">
        <v>173</v>
      </c>
      <c r="D39" s="6" t="s">
        <v>175</v>
      </c>
      <c r="E39" s="6" t="s">
        <v>495</v>
      </c>
      <c r="F39" s="6" t="s">
        <v>161</v>
      </c>
      <c r="G39" s="6" t="s">
        <v>20</v>
      </c>
      <c r="H39" s="6" t="s">
        <v>49</v>
      </c>
      <c r="I39" s="6" t="s">
        <v>49</v>
      </c>
      <c r="J39" s="6" t="s">
        <v>441</v>
      </c>
      <c r="K39" s="9">
        <v>0.96</v>
      </c>
      <c r="L39" s="9">
        <v>50</v>
      </c>
      <c r="M39" s="14">
        <v>0.03</v>
      </c>
      <c r="N39" s="9">
        <f t="shared" si="0"/>
        <v>49.44</v>
      </c>
      <c r="O39" s="6">
        <v>56</v>
      </c>
      <c r="P39" s="6" t="s">
        <v>49</v>
      </c>
      <c r="Q39" s="6" t="s">
        <v>769</v>
      </c>
      <c r="R39" s="6" t="s">
        <v>49</v>
      </c>
    </row>
    <row r="40" ht="28.8" spans="1:18">
      <c r="A40" s="6" t="s">
        <v>805</v>
      </c>
      <c r="B40" s="6" t="s">
        <v>172</v>
      </c>
      <c r="C40" s="6" t="s">
        <v>173</v>
      </c>
      <c r="D40" s="6" t="s">
        <v>175</v>
      </c>
      <c r="E40" s="6" t="s">
        <v>496</v>
      </c>
      <c r="F40" s="6" t="s">
        <v>493</v>
      </c>
      <c r="G40" s="6" t="s">
        <v>20</v>
      </c>
      <c r="H40" s="6" t="s">
        <v>49</v>
      </c>
      <c r="I40" s="6" t="s">
        <v>49</v>
      </c>
      <c r="J40" s="6" t="s">
        <v>441</v>
      </c>
      <c r="K40" s="9">
        <v>0.96</v>
      </c>
      <c r="L40" s="9">
        <v>50</v>
      </c>
      <c r="M40" s="14">
        <v>0.03</v>
      </c>
      <c r="N40" s="9">
        <f t="shared" si="0"/>
        <v>49.44</v>
      </c>
      <c r="O40" s="6">
        <v>0.68</v>
      </c>
      <c r="P40" s="6" t="s">
        <v>49</v>
      </c>
      <c r="Q40" s="6" t="s">
        <v>769</v>
      </c>
      <c r="R40" s="6" t="s">
        <v>49</v>
      </c>
    </row>
    <row r="41" ht="28.8" spans="1:18">
      <c r="A41" s="6" t="s">
        <v>806</v>
      </c>
      <c r="B41" s="6" t="s">
        <v>176</v>
      </c>
      <c r="C41" s="6" t="s">
        <v>177</v>
      </c>
      <c r="D41" s="6" t="s">
        <v>179</v>
      </c>
      <c r="E41" s="6" t="s">
        <v>497</v>
      </c>
      <c r="F41" s="6" t="s">
        <v>161</v>
      </c>
      <c r="G41" s="6" t="s">
        <v>20</v>
      </c>
      <c r="H41" s="6" t="s">
        <v>49</v>
      </c>
      <c r="I41" s="6" t="s">
        <v>49</v>
      </c>
      <c r="J41" s="6" t="s">
        <v>441</v>
      </c>
      <c r="K41" s="9">
        <v>0.15</v>
      </c>
      <c r="L41" s="9">
        <v>50</v>
      </c>
      <c r="M41" s="14">
        <v>0.03</v>
      </c>
      <c r="N41" s="9">
        <f t="shared" si="0"/>
        <v>7.725</v>
      </c>
      <c r="O41" s="6">
        <v>9.04</v>
      </c>
      <c r="P41" s="6" t="s">
        <v>49</v>
      </c>
      <c r="Q41" s="6" t="s">
        <v>769</v>
      </c>
      <c r="R41" s="6" t="s">
        <v>49</v>
      </c>
    </row>
    <row r="42" ht="28.8" spans="1:18">
      <c r="A42" s="6" t="s">
        <v>807</v>
      </c>
      <c r="B42" s="6" t="s">
        <v>182</v>
      </c>
      <c r="C42" s="6" t="s">
        <v>183</v>
      </c>
      <c r="D42" s="6" t="s">
        <v>185</v>
      </c>
      <c r="E42" s="6" t="s">
        <v>498</v>
      </c>
      <c r="F42" s="6" t="s">
        <v>64</v>
      </c>
      <c r="G42" s="6" t="s">
        <v>21</v>
      </c>
      <c r="H42" s="6" t="s">
        <v>49</v>
      </c>
      <c r="I42" s="6" t="s">
        <v>49</v>
      </c>
      <c r="J42" s="6" t="s">
        <v>437</v>
      </c>
      <c r="K42" s="9">
        <v>0.06</v>
      </c>
      <c r="L42" s="9">
        <v>1400</v>
      </c>
      <c r="M42" s="14">
        <v>0.05</v>
      </c>
      <c r="N42" s="9">
        <f t="shared" si="0"/>
        <v>88.2</v>
      </c>
      <c r="O42" s="6">
        <v>200.2</v>
      </c>
      <c r="P42" s="6" t="s">
        <v>187</v>
      </c>
      <c r="Q42" s="6" t="s">
        <v>769</v>
      </c>
      <c r="R42" s="6" t="s">
        <v>49</v>
      </c>
    </row>
    <row r="43" ht="28.8" spans="1:18">
      <c r="A43" s="6" t="s">
        <v>808</v>
      </c>
      <c r="B43" s="6" t="s">
        <v>182</v>
      </c>
      <c r="C43" s="6" t="s">
        <v>183</v>
      </c>
      <c r="D43" s="6" t="s">
        <v>185</v>
      </c>
      <c r="E43" s="6" t="s">
        <v>499</v>
      </c>
      <c r="F43" s="6" t="s">
        <v>500</v>
      </c>
      <c r="G43" s="6" t="s">
        <v>20</v>
      </c>
      <c r="H43" s="6" t="s">
        <v>49</v>
      </c>
      <c r="I43" s="6" t="s">
        <v>49</v>
      </c>
      <c r="J43" s="6" t="s">
        <v>441</v>
      </c>
      <c r="K43" s="9">
        <v>0.44</v>
      </c>
      <c r="L43" s="9">
        <v>1400</v>
      </c>
      <c r="M43" s="14">
        <v>0.03</v>
      </c>
      <c r="N43" s="9">
        <f t="shared" si="0"/>
        <v>634.48</v>
      </c>
      <c r="O43" s="6">
        <v>677.6</v>
      </c>
      <c r="P43" s="6" t="s">
        <v>187</v>
      </c>
      <c r="Q43" s="6" t="s">
        <v>769</v>
      </c>
      <c r="R43" s="6" t="s">
        <v>49</v>
      </c>
    </row>
    <row r="44" ht="28.8" spans="1:18">
      <c r="A44" s="6" t="s">
        <v>809</v>
      </c>
      <c r="B44" s="6" t="s">
        <v>191</v>
      </c>
      <c r="C44" s="6" t="s">
        <v>192</v>
      </c>
      <c r="D44" s="6" t="s">
        <v>194</v>
      </c>
      <c r="E44" s="6" t="s">
        <v>501</v>
      </c>
      <c r="F44" s="6" t="s">
        <v>502</v>
      </c>
      <c r="G44" s="6" t="s">
        <v>21</v>
      </c>
      <c r="H44" s="6" t="s">
        <v>49</v>
      </c>
      <c r="I44" s="6" t="s">
        <v>49</v>
      </c>
      <c r="J44" s="6" t="s">
        <v>437</v>
      </c>
      <c r="K44" s="9">
        <v>0.85</v>
      </c>
      <c r="L44" s="9">
        <v>2000</v>
      </c>
      <c r="M44" s="14">
        <v>0.05</v>
      </c>
      <c r="N44" s="9">
        <f t="shared" si="0"/>
        <v>1785</v>
      </c>
      <c r="O44" s="6">
        <v>1870</v>
      </c>
      <c r="P44" s="6" t="s">
        <v>49</v>
      </c>
      <c r="Q44" s="6" t="s">
        <v>769</v>
      </c>
      <c r="R44" s="6" t="s">
        <v>49</v>
      </c>
    </row>
    <row r="45" ht="28.8" spans="1:18">
      <c r="A45" s="6" t="s">
        <v>810</v>
      </c>
      <c r="B45" s="6" t="s">
        <v>191</v>
      </c>
      <c r="C45" s="6" t="s">
        <v>192</v>
      </c>
      <c r="D45" s="6" t="s">
        <v>194</v>
      </c>
      <c r="E45" s="6" t="s">
        <v>503</v>
      </c>
      <c r="F45" s="6" t="s">
        <v>504</v>
      </c>
      <c r="G45" s="6" t="s">
        <v>21</v>
      </c>
      <c r="H45" s="6" t="s">
        <v>49</v>
      </c>
      <c r="I45" s="6" t="s">
        <v>49</v>
      </c>
      <c r="J45" s="6" t="s">
        <v>437</v>
      </c>
      <c r="K45" s="9">
        <v>0.29</v>
      </c>
      <c r="L45" s="9">
        <v>2000</v>
      </c>
      <c r="M45" s="14">
        <v>0.05</v>
      </c>
      <c r="N45" s="9">
        <f t="shared" si="0"/>
        <v>609</v>
      </c>
      <c r="O45" s="6">
        <v>638</v>
      </c>
      <c r="P45" s="6" t="s">
        <v>49</v>
      </c>
      <c r="Q45" s="6" t="s">
        <v>769</v>
      </c>
      <c r="R45" s="6" t="s">
        <v>49</v>
      </c>
    </row>
    <row r="46" ht="28.8" spans="1:18">
      <c r="A46" s="6" t="s">
        <v>811</v>
      </c>
      <c r="B46" s="6" t="s">
        <v>197</v>
      </c>
      <c r="C46" s="6" t="s">
        <v>198</v>
      </c>
      <c r="D46" s="6" t="s">
        <v>200</v>
      </c>
      <c r="E46" s="6" t="s">
        <v>505</v>
      </c>
      <c r="F46" s="6" t="s">
        <v>502</v>
      </c>
      <c r="G46" s="6" t="s">
        <v>21</v>
      </c>
      <c r="H46" s="6" t="s">
        <v>49</v>
      </c>
      <c r="I46" s="6" t="s">
        <v>49</v>
      </c>
      <c r="J46" s="6" t="s">
        <v>437</v>
      </c>
      <c r="K46" s="9">
        <v>0.91</v>
      </c>
      <c r="L46" s="9">
        <v>800</v>
      </c>
      <c r="M46" s="14">
        <v>0.05</v>
      </c>
      <c r="N46" s="9">
        <f t="shared" si="0"/>
        <v>764.4</v>
      </c>
      <c r="O46" s="6">
        <v>800.8</v>
      </c>
      <c r="P46" s="6" t="s">
        <v>49</v>
      </c>
      <c r="Q46" s="6" t="s">
        <v>769</v>
      </c>
      <c r="R46" s="6" t="s">
        <v>49</v>
      </c>
    </row>
    <row r="47" ht="28.8" spans="1:18">
      <c r="A47" s="6" t="s">
        <v>812</v>
      </c>
      <c r="B47" s="6" t="s">
        <v>197</v>
      </c>
      <c r="C47" s="6" t="s">
        <v>198</v>
      </c>
      <c r="D47" s="6" t="s">
        <v>200</v>
      </c>
      <c r="E47" s="6" t="s">
        <v>506</v>
      </c>
      <c r="F47" s="6" t="s">
        <v>507</v>
      </c>
      <c r="G47" s="6" t="s">
        <v>21</v>
      </c>
      <c r="H47" s="6" t="s">
        <v>49</v>
      </c>
      <c r="I47" s="6" t="s">
        <v>49</v>
      </c>
      <c r="J47" s="6" t="s">
        <v>437</v>
      </c>
      <c r="K47" s="9">
        <v>0.27</v>
      </c>
      <c r="L47" s="9">
        <v>800</v>
      </c>
      <c r="M47" s="14">
        <v>0.05</v>
      </c>
      <c r="N47" s="9">
        <f t="shared" si="0"/>
        <v>226.8</v>
      </c>
      <c r="O47" s="6">
        <v>237.6</v>
      </c>
      <c r="P47" s="6" t="s">
        <v>49</v>
      </c>
      <c r="Q47" s="6" t="s">
        <v>769</v>
      </c>
      <c r="R47" s="6" t="s">
        <v>49</v>
      </c>
    </row>
    <row r="48" ht="28.8" spans="1:18">
      <c r="A48" s="6" t="s">
        <v>813</v>
      </c>
      <c r="B48" s="6" t="s">
        <v>197</v>
      </c>
      <c r="C48" s="6" t="s">
        <v>198</v>
      </c>
      <c r="D48" s="6" t="s">
        <v>200</v>
      </c>
      <c r="E48" s="6" t="s">
        <v>508</v>
      </c>
      <c r="F48" s="6" t="s">
        <v>509</v>
      </c>
      <c r="G48" s="6" t="s">
        <v>20</v>
      </c>
      <c r="H48" s="6" t="s">
        <v>49</v>
      </c>
      <c r="I48" s="6" t="s">
        <v>49</v>
      </c>
      <c r="J48" s="6" t="s">
        <v>437</v>
      </c>
      <c r="K48" s="9">
        <v>0.91</v>
      </c>
      <c r="L48" s="9">
        <v>800</v>
      </c>
      <c r="M48" s="14">
        <v>0.03</v>
      </c>
      <c r="N48" s="9">
        <f t="shared" si="0"/>
        <v>749.84</v>
      </c>
      <c r="O48" s="6">
        <v>800.8</v>
      </c>
      <c r="P48" s="6" t="s">
        <v>49</v>
      </c>
      <c r="Q48" s="6" t="s">
        <v>769</v>
      </c>
      <c r="R48" s="6" t="s">
        <v>49</v>
      </c>
    </row>
    <row r="49" ht="28.8" spans="1:18">
      <c r="A49" s="6" t="s">
        <v>814</v>
      </c>
      <c r="B49" s="6" t="s">
        <v>197</v>
      </c>
      <c r="C49" s="6" t="s">
        <v>198</v>
      </c>
      <c r="D49" s="6" t="s">
        <v>200</v>
      </c>
      <c r="E49" s="6" t="s">
        <v>510</v>
      </c>
      <c r="F49" s="6" t="s">
        <v>511</v>
      </c>
      <c r="G49" s="6" t="s">
        <v>21</v>
      </c>
      <c r="H49" s="6" t="s">
        <v>49</v>
      </c>
      <c r="I49" s="6" t="s">
        <v>49</v>
      </c>
      <c r="J49" s="6" t="s">
        <v>437</v>
      </c>
      <c r="K49" s="9">
        <v>0.91</v>
      </c>
      <c r="L49" s="9">
        <v>800</v>
      </c>
      <c r="M49" s="14">
        <v>0.05</v>
      </c>
      <c r="N49" s="9">
        <f t="shared" si="0"/>
        <v>764.4</v>
      </c>
      <c r="O49" s="6">
        <v>800.8</v>
      </c>
      <c r="P49" s="6" t="s">
        <v>49</v>
      </c>
      <c r="Q49" s="6" t="s">
        <v>769</v>
      </c>
      <c r="R49" s="6" t="s">
        <v>49</v>
      </c>
    </row>
    <row r="50" ht="28.8" spans="1:18">
      <c r="A50" s="6" t="s">
        <v>815</v>
      </c>
      <c r="B50" s="6" t="s">
        <v>203</v>
      </c>
      <c r="C50" s="6" t="s">
        <v>204</v>
      </c>
      <c r="D50" s="6" t="s">
        <v>205</v>
      </c>
      <c r="E50" s="6" t="s">
        <v>512</v>
      </c>
      <c r="F50" s="6" t="s">
        <v>513</v>
      </c>
      <c r="G50" s="6" t="s">
        <v>21</v>
      </c>
      <c r="H50" s="6" t="s">
        <v>49</v>
      </c>
      <c r="I50" s="6" t="s">
        <v>49</v>
      </c>
      <c r="J50" s="6" t="s">
        <v>437</v>
      </c>
      <c r="K50" s="9">
        <v>0.04</v>
      </c>
      <c r="L50" s="9">
        <v>550</v>
      </c>
      <c r="M50" s="14">
        <v>0.05</v>
      </c>
      <c r="N50" s="9">
        <f t="shared" si="0"/>
        <v>23.1</v>
      </c>
      <c r="O50" s="6">
        <v>24.2</v>
      </c>
      <c r="P50" s="6" t="s">
        <v>49</v>
      </c>
      <c r="Q50" s="6" t="s">
        <v>769</v>
      </c>
      <c r="R50" s="6" t="s">
        <v>49</v>
      </c>
    </row>
    <row r="51" ht="28.8" spans="1:18">
      <c r="A51" s="6" t="s">
        <v>816</v>
      </c>
      <c r="B51" s="6" t="s">
        <v>203</v>
      </c>
      <c r="C51" s="6" t="s">
        <v>204</v>
      </c>
      <c r="D51" s="6" t="s">
        <v>205</v>
      </c>
      <c r="E51" s="6" t="s">
        <v>514</v>
      </c>
      <c r="F51" s="6" t="s">
        <v>515</v>
      </c>
      <c r="G51" s="6" t="s">
        <v>20</v>
      </c>
      <c r="H51" s="6" t="s">
        <v>49</v>
      </c>
      <c r="I51" s="6" t="s">
        <v>49</v>
      </c>
      <c r="J51" s="6" t="s">
        <v>437</v>
      </c>
      <c r="K51" s="9">
        <v>0.94</v>
      </c>
      <c r="L51" s="9">
        <v>550</v>
      </c>
      <c r="M51" s="14">
        <v>0.03</v>
      </c>
      <c r="N51" s="9">
        <f t="shared" si="0"/>
        <v>532.51</v>
      </c>
      <c r="O51" s="6">
        <v>568.7</v>
      </c>
      <c r="P51" s="6" t="s">
        <v>49</v>
      </c>
      <c r="Q51" s="6" t="s">
        <v>769</v>
      </c>
      <c r="R51" s="6" t="s">
        <v>49</v>
      </c>
    </row>
    <row r="52" ht="28.8" spans="1:18">
      <c r="A52" s="6" t="s">
        <v>817</v>
      </c>
      <c r="B52" s="6" t="s">
        <v>207</v>
      </c>
      <c r="C52" s="6" t="s">
        <v>208</v>
      </c>
      <c r="D52" s="6" t="s">
        <v>209</v>
      </c>
      <c r="E52" s="6" t="s">
        <v>516</v>
      </c>
      <c r="F52" s="6" t="s">
        <v>513</v>
      </c>
      <c r="G52" s="6" t="s">
        <v>21</v>
      </c>
      <c r="H52" s="6" t="s">
        <v>49</v>
      </c>
      <c r="I52" s="6" t="s">
        <v>49</v>
      </c>
      <c r="J52" s="6" t="s">
        <v>437</v>
      </c>
      <c r="K52" s="9">
        <v>0.05</v>
      </c>
      <c r="L52" s="9">
        <v>600</v>
      </c>
      <c r="M52" s="14">
        <v>0.05</v>
      </c>
      <c r="N52" s="9">
        <f t="shared" si="0"/>
        <v>31.5</v>
      </c>
      <c r="O52" s="6">
        <v>33</v>
      </c>
      <c r="P52" s="6" t="s">
        <v>49</v>
      </c>
      <c r="Q52" s="6" t="s">
        <v>769</v>
      </c>
      <c r="R52" s="6" t="s">
        <v>49</v>
      </c>
    </row>
    <row r="53" ht="28.8" spans="1:18">
      <c r="A53" s="6" t="s">
        <v>818</v>
      </c>
      <c r="B53" s="6" t="s">
        <v>207</v>
      </c>
      <c r="C53" s="6" t="s">
        <v>208</v>
      </c>
      <c r="D53" s="6" t="s">
        <v>209</v>
      </c>
      <c r="E53" s="6" t="s">
        <v>517</v>
      </c>
      <c r="F53" s="6" t="s">
        <v>515</v>
      </c>
      <c r="G53" s="6" t="s">
        <v>20</v>
      </c>
      <c r="H53" s="6" t="s">
        <v>49</v>
      </c>
      <c r="I53" s="6" t="s">
        <v>49</v>
      </c>
      <c r="J53" s="6" t="s">
        <v>437</v>
      </c>
      <c r="K53" s="9">
        <v>0.76</v>
      </c>
      <c r="L53" s="9">
        <v>600</v>
      </c>
      <c r="M53" s="14">
        <v>0.03</v>
      </c>
      <c r="N53" s="9">
        <f t="shared" si="0"/>
        <v>469.68</v>
      </c>
      <c r="O53" s="6">
        <v>501.6</v>
      </c>
      <c r="P53" s="6" t="s">
        <v>49</v>
      </c>
      <c r="Q53" s="6" t="s">
        <v>769</v>
      </c>
      <c r="R53" s="6" t="s">
        <v>49</v>
      </c>
    </row>
    <row r="54" ht="28.8" spans="1:18">
      <c r="A54" s="6" t="s">
        <v>819</v>
      </c>
      <c r="B54" s="6" t="s">
        <v>210</v>
      </c>
      <c r="C54" s="6" t="s">
        <v>211</v>
      </c>
      <c r="D54" s="6" t="s">
        <v>212</v>
      </c>
      <c r="E54" s="6" t="s">
        <v>518</v>
      </c>
      <c r="F54" s="6" t="s">
        <v>513</v>
      </c>
      <c r="G54" s="6" t="s">
        <v>21</v>
      </c>
      <c r="H54" s="6" t="s">
        <v>49</v>
      </c>
      <c r="I54" s="6" t="s">
        <v>49</v>
      </c>
      <c r="J54" s="6" t="s">
        <v>437</v>
      </c>
      <c r="K54" s="9">
        <v>0.04</v>
      </c>
      <c r="L54" s="9">
        <v>3088</v>
      </c>
      <c r="M54" s="14">
        <v>0.05</v>
      </c>
      <c r="N54" s="9">
        <f t="shared" si="0"/>
        <v>129.696</v>
      </c>
      <c r="O54" s="6">
        <v>141.24</v>
      </c>
      <c r="P54" s="6" t="s">
        <v>49</v>
      </c>
      <c r="Q54" s="6" t="s">
        <v>769</v>
      </c>
      <c r="R54" s="6" t="s">
        <v>49</v>
      </c>
    </row>
    <row r="55" ht="28.8" spans="1:18">
      <c r="A55" s="6" t="s">
        <v>820</v>
      </c>
      <c r="B55" s="6" t="s">
        <v>210</v>
      </c>
      <c r="C55" s="6" t="s">
        <v>211</v>
      </c>
      <c r="D55" s="6" t="s">
        <v>212</v>
      </c>
      <c r="E55" s="6" t="s">
        <v>519</v>
      </c>
      <c r="F55" s="6" t="s">
        <v>515</v>
      </c>
      <c r="G55" s="6" t="s">
        <v>20</v>
      </c>
      <c r="H55" s="6" t="s">
        <v>49</v>
      </c>
      <c r="I55" s="6" t="s">
        <v>49</v>
      </c>
      <c r="J55" s="6" t="s">
        <v>437</v>
      </c>
      <c r="K55" s="9">
        <v>0.76</v>
      </c>
      <c r="L55" s="9">
        <v>3088</v>
      </c>
      <c r="M55" s="14">
        <v>0.03</v>
      </c>
      <c r="N55" s="9">
        <f t="shared" si="0"/>
        <v>2417.2864</v>
      </c>
      <c r="O55" s="6">
        <v>2683.56</v>
      </c>
      <c r="P55" s="6" t="s">
        <v>49</v>
      </c>
      <c r="Q55" s="6" t="s">
        <v>769</v>
      </c>
      <c r="R55" s="6" t="s">
        <v>49</v>
      </c>
    </row>
    <row r="56" ht="28.8" spans="1:18">
      <c r="A56" s="6" t="s">
        <v>821</v>
      </c>
      <c r="B56" s="6" t="s">
        <v>215</v>
      </c>
      <c r="C56" s="6" t="s">
        <v>216</v>
      </c>
      <c r="D56" s="6" t="s">
        <v>83</v>
      </c>
      <c r="E56" s="6" t="s">
        <v>520</v>
      </c>
      <c r="F56" s="6" t="s">
        <v>521</v>
      </c>
      <c r="G56" s="6" t="s">
        <v>21</v>
      </c>
      <c r="H56" s="6" t="s">
        <v>49</v>
      </c>
      <c r="I56" s="6" t="s">
        <v>49</v>
      </c>
      <c r="J56" s="6" t="s">
        <v>437</v>
      </c>
      <c r="K56" s="9">
        <v>0.72</v>
      </c>
      <c r="L56" s="9">
        <v>3860</v>
      </c>
      <c r="M56" s="14">
        <v>0.05</v>
      </c>
      <c r="N56" s="9">
        <f t="shared" si="0"/>
        <v>2918.16</v>
      </c>
      <c r="O56" s="6">
        <v>9024</v>
      </c>
      <c r="P56" s="6" t="s">
        <v>49</v>
      </c>
      <c r="Q56" s="6" t="s">
        <v>769</v>
      </c>
      <c r="R56" s="6" t="s">
        <v>49</v>
      </c>
    </row>
    <row r="57" ht="28.8" spans="1:18">
      <c r="A57" s="6" t="s">
        <v>822</v>
      </c>
      <c r="B57" s="6" t="s">
        <v>215</v>
      </c>
      <c r="C57" s="6" t="s">
        <v>216</v>
      </c>
      <c r="D57" s="6" t="s">
        <v>83</v>
      </c>
      <c r="E57" s="6" t="s">
        <v>522</v>
      </c>
      <c r="F57" s="6" t="s">
        <v>523</v>
      </c>
      <c r="G57" s="6" t="s">
        <v>21</v>
      </c>
      <c r="H57" s="6" t="s">
        <v>49</v>
      </c>
      <c r="I57" s="6" t="s">
        <v>49</v>
      </c>
      <c r="J57" s="6" t="s">
        <v>437</v>
      </c>
      <c r="K57" s="9">
        <v>0.02</v>
      </c>
      <c r="L57" s="9">
        <v>3860</v>
      </c>
      <c r="M57" s="14">
        <v>0.05</v>
      </c>
      <c r="N57" s="9">
        <f t="shared" si="0"/>
        <v>81.06</v>
      </c>
      <c r="O57" s="6">
        <v>396</v>
      </c>
      <c r="P57" s="6" t="s">
        <v>49</v>
      </c>
      <c r="Q57" s="6" t="s">
        <v>769</v>
      </c>
      <c r="R57" s="6" t="s">
        <v>49</v>
      </c>
    </row>
    <row r="58" ht="28.8" spans="1:18">
      <c r="A58" s="6" t="s">
        <v>823</v>
      </c>
      <c r="B58" s="6" t="s">
        <v>223</v>
      </c>
      <c r="C58" s="6" t="s">
        <v>224</v>
      </c>
      <c r="D58" s="6" t="s">
        <v>225</v>
      </c>
      <c r="E58" s="6" t="s">
        <v>524</v>
      </c>
      <c r="F58" s="6" t="s">
        <v>525</v>
      </c>
      <c r="G58" s="6" t="s">
        <v>21</v>
      </c>
      <c r="H58" s="6" t="s">
        <v>49</v>
      </c>
      <c r="I58" s="6" t="s">
        <v>49</v>
      </c>
      <c r="J58" s="6" t="s">
        <v>437</v>
      </c>
      <c r="K58" s="9">
        <v>0.685</v>
      </c>
      <c r="L58" s="9">
        <v>2731</v>
      </c>
      <c r="M58" s="14">
        <v>0.05</v>
      </c>
      <c r="N58" s="9">
        <f t="shared" si="0"/>
        <v>1964.27175</v>
      </c>
      <c r="O58" s="6">
        <v>2057.82</v>
      </c>
      <c r="P58" s="6" t="s">
        <v>49</v>
      </c>
      <c r="Q58" s="6" t="s">
        <v>769</v>
      </c>
      <c r="R58" s="6" t="s">
        <v>49</v>
      </c>
    </row>
    <row r="59" ht="28.8" spans="1:18">
      <c r="A59" s="6" t="s">
        <v>824</v>
      </c>
      <c r="B59" s="6" t="s">
        <v>223</v>
      </c>
      <c r="C59" s="6" t="s">
        <v>224</v>
      </c>
      <c r="D59" s="6" t="s">
        <v>225</v>
      </c>
      <c r="E59" s="6" t="s">
        <v>526</v>
      </c>
      <c r="F59" s="6" t="s">
        <v>527</v>
      </c>
      <c r="G59" s="6" t="s">
        <v>21</v>
      </c>
      <c r="H59" s="6" t="s">
        <v>49</v>
      </c>
      <c r="I59" s="6" t="s">
        <v>49</v>
      </c>
      <c r="J59" s="6" t="s">
        <v>437</v>
      </c>
      <c r="K59" s="9">
        <v>0.016</v>
      </c>
      <c r="L59" s="9">
        <v>2731</v>
      </c>
      <c r="M59" s="14">
        <v>0.05</v>
      </c>
      <c r="N59" s="9">
        <f t="shared" si="0"/>
        <v>45.8808</v>
      </c>
      <c r="O59" s="6">
        <v>48.07</v>
      </c>
      <c r="P59" s="6" t="s">
        <v>49</v>
      </c>
      <c r="Q59" s="6" t="s">
        <v>769</v>
      </c>
      <c r="R59" s="6" t="s">
        <v>49</v>
      </c>
    </row>
    <row r="60" ht="28.8" spans="1:18">
      <c r="A60" s="6" t="s">
        <v>825</v>
      </c>
      <c r="B60" s="6" t="s">
        <v>227</v>
      </c>
      <c r="C60" s="6" t="s">
        <v>228</v>
      </c>
      <c r="D60" s="6" t="s">
        <v>229</v>
      </c>
      <c r="E60" s="6" t="s">
        <v>528</v>
      </c>
      <c r="F60" s="6" t="s">
        <v>529</v>
      </c>
      <c r="G60" s="6" t="s">
        <v>21</v>
      </c>
      <c r="H60" s="6" t="s">
        <v>49</v>
      </c>
      <c r="I60" s="6" t="s">
        <v>49</v>
      </c>
      <c r="J60" s="6" t="s">
        <v>437</v>
      </c>
      <c r="K60" s="9">
        <v>2.34</v>
      </c>
      <c r="L60" s="9">
        <v>477</v>
      </c>
      <c r="M60" s="14">
        <v>0.05</v>
      </c>
      <c r="N60" s="9">
        <f t="shared" si="0"/>
        <v>1171.989</v>
      </c>
      <c r="O60" s="6">
        <v>801.39</v>
      </c>
      <c r="P60" s="6" t="s">
        <v>49</v>
      </c>
      <c r="Q60" s="6" t="s">
        <v>769</v>
      </c>
      <c r="R60" s="6" t="s">
        <v>49</v>
      </c>
    </row>
    <row r="61" ht="28.8" spans="1:18">
      <c r="A61" s="6" t="s">
        <v>826</v>
      </c>
      <c r="B61" s="6" t="s">
        <v>227</v>
      </c>
      <c r="C61" s="6" t="s">
        <v>228</v>
      </c>
      <c r="D61" s="6" t="s">
        <v>229</v>
      </c>
      <c r="E61" s="6" t="s">
        <v>530</v>
      </c>
      <c r="F61" s="6" t="s">
        <v>531</v>
      </c>
      <c r="G61" s="6" t="s">
        <v>21</v>
      </c>
      <c r="H61" s="6" t="s">
        <v>49</v>
      </c>
      <c r="I61" s="6" t="s">
        <v>49</v>
      </c>
      <c r="J61" s="6" t="s">
        <v>437</v>
      </c>
      <c r="K61" s="9">
        <v>0.33</v>
      </c>
      <c r="L61" s="9">
        <v>477</v>
      </c>
      <c r="M61" s="14">
        <v>0.05</v>
      </c>
      <c r="N61" s="9">
        <f t="shared" si="0"/>
        <v>165.2805</v>
      </c>
      <c r="O61" s="6">
        <v>113.01</v>
      </c>
      <c r="P61" s="6" t="s">
        <v>49</v>
      </c>
      <c r="Q61" s="6" t="s">
        <v>769</v>
      </c>
      <c r="R61" s="6" t="s">
        <v>49</v>
      </c>
    </row>
    <row r="62" ht="28.8" spans="1:18">
      <c r="A62" s="6" t="s">
        <v>827</v>
      </c>
      <c r="B62" s="6" t="s">
        <v>231</v>
      </c>
      <c r="C62" s="6" t="s">
        <v>232</v>
      </c>
      <c r="D62" s="6" t="s">
        <v>233</v>
      </c>
      <c r="E62" s="6" t="s">
        <v>532</v>
      </c>
      <c r="F62" s="6" t="s">
        <v>533</v>
      </c>
      <c r="G62" s="6" t="s">
        <v>20</v>
      </c>
      <c r="H62" s="6" t="s">
        <v>49</v>
      </c>
      <c r="I62" s="6" t="s">
        <v>49</v>
      </c>
      <c r="J62" s="6" t="s">
        <v>437</v>
      </c>
      <c r="K62" s="9">
        <v>1.99</v>
      </c>
      <c r="L62" s="9">
        <v>111</v>
      </c>
      <c r="M62" s="14">
        <v>0.03</v>
      </c>
      <c r="N62" s="9">
        <f t="shared" si="0"/>
        <v>227.5167</v>
      </c>
      <c r="O62" s="6">
        <v>242.98</v>
      </c>
      <c r="P62" s="6" t="s">
        <v>49</v>
      </c>
      <c r="Q62" s="6" t="s">
        <v>769</v>
      </c>
      <c r="R62" s="6" t="s">
        <v>49</v>
      </c>
    </row>
    <row r="63" ht="28.8" spans="1:18">
      <c r="A63" s="6" t="s">
        <v>828</v>
      </c>
      <c r="B63" s="6" t="s">
        <v>231</v>
      </c>
      <c r="C63" s="6" t="s">
        <v>232</v>
      </c>
      <c r="D63" s="6" t="s">
        <v>233</v>
      </c>
      <c r="E63" s="6" t="s">
        <v>534</v>
      </c>
      <c r="F63" s="6" t="s">
        <v>535</v>
      </c>
      <c r="G63" s="6" t="s">
        <v>21</v>
      </c>
      <c r="H63" s="6" t="s">
        <v>49</v>
      </c>
      <c r="I63" s="6" t="s">
        <v>49</v>
      </c>
      <c r="J63" s="6" t="s">
        <v>437</v>
      </c>
      <c r="K63" s="9">
        <v>0.39</v>
      </c>
      <c r="L63" s="9">
        <v>111</v>
      </c>
      <c r="M63" s="14">
        <v>0.05</v>
      </c>
      <c r="N63" s="9">
        <f t="shared" si="0"/>
        <v>45.4545</v>
      </c>
      <c r="O63" s="6">
        <v>47.62</v>
      </c>
      <c r="P63" s="6" t="s">
        <v>49</v>
      </c>
      <c r="Q63" s="6" t="s">
        <v>769</v>
      </c>
      <c r="R63" s="6" t="s">
        <v>49</v>
      </c>
    </row>
    <row r="64" ht="28.8" spans="1:18">
      <c r="A64" s="6" t="s">
        <v>829</v>
      </c>
      <c r="B64" s="6" t="s">
        <v>231</v>
      </c>
      <c r="C64" s="6" t="s">
        <v>232</v>
      </c>
      <c r="D64" s="6" t="s">
        <v>233</v>
      </c>
      <c r="E64" s="6" t="s">
        <v>536</v>
      </c>
      <c r="F64" s="6" t="s">
        <v>537</v>
      </c>
      <c r="G64" s="6" t="s">
        <v>21</v>
      </c>
      <c r="H64" s="6" t="s">
        <v>49</v>
      </c>
      <c r="I64" s="6" t="s">
        <v>49</v>
      </c>
      <c r="J64" s="6" t="s">
        <v>437</v>
      </c>
      <c r="K64" s="9">
        <v>0.09</v>
      </c>
      <c r="L64" s="9">
        <v>111</v>
      </c>
      <c r="M64" s="14">
        <v>0.05</v>
      </c>
      <c r="N64" s="9">
        <f t="shared" si="0"/>
        <v>10.4895</v>
      </c>
      <c r="O64" s="6">
        <v>10.99</v>
      </c>
      <c r="P64" s="6" t="s">
        <v>49</v>
      </c>
      <c r="Q64" s="6" t="s">
        <v>769</v>
      </c>
      <c r="R64" s="6" t="s">
        <v>49</v>
      </c>
    </row>
    <row r="65" ht="28.8" spans="1:18">
      <c r="A65" s="6" t="s">
        <v>830</v>
      </c>
      <c r="B65" s="6" t="s">
        <v>235</v>
      </c>
      <c r="C65" s="6" t="s">
        <v>228</v>
      </c>
      <c r="D65" s="6" t="s">
        <v>229</v>
      </c>
      <c r="E65" s="6" t="s">
        <v>538</v>
      </c>
      <c r="F65" s="6" t="s">
        <v>529</v>
      </c>
      <c r="G65" s="6" t="s">
        <v>21</v>
      </c>
      <c r="H65" s="6" t="s">
        <v>49</v>
      </c>
      <c r="I65" s="6" t="s">
        <v>49</v>
      </c>
      <c r="J65" s="6" t="s">
        <v>437</v>
      </c>
      <c r="K65" s="9">
        <v>2.34</v>
      </c>
      <c r="L65" s="9">
        <v>457</v>
      </c>
      <c r="M65" s="14">
        <v>0.05</v>
      </c>
      <c r="N65" s="9">
        <f t="shared" si="0"/>
        <v>1122.849</v>
      </c>
      <c r="O65" s="6">
        <v>801.39</v>
      </c>
      <c r="P65" s="6" t="s">
        <v>49</v>
      </c>
      <c r="Q65" s="6" t="s">
        <v>769</v>
      </c>
      <c r="R65" s="6" t="s">
        <v>49</v>
      </c>
    </row>
    <row r="66" ht="28.8" spans="1:18">
      <c r="A66" s="6" t="s">
        <v>831</v>
      </c>
      <c r="B66" s="6" t="s">
        <v>235</v>
      </c>
      <c r="C66" s="6" t="s">
        <v>228</v>
      </c>
      <c r="D66" s="6" t="s">
        <v>229</v>
      </c>
      <c r="E66" s="6" t="s">
        <v>539</v>
      </c>
      <c r="F66" s="6" t="s">
        <v>531</v>
      </c>
      <c r="G66" s="6" t="s">
        <v>21</v>
      </c>
      <c r="H66" s="6" t="s">
        <v>49</v>
      </c>
      <c r="I66" s="6" t="s">
        <v>49</v>
      </c>
      <c r="J66" s="6" t="s">
        <v>437</v>
      </c>
      <c r="K66" s="9">
        <v>0.33</v>
      </c>
      <c r="L66" s="9">
        <v>457</v>
      </c>
      <c r="M66" s="14">
        <v>0.05</v>
      </c>
      <c r="N66" s="9">
        <f t="shared" si="0"/>
        <v>158.3505</v>
      </c>
      <c r="O66" s="6">
        <v>113.01</v>
      </c>
      <c r="P66" s="6" t="s">
        <v>49</v>
      </c>
      <c r="Q66" s="6" t="s">
        <v>769</v>
      </c>
      <c r="R66" s="6" t="s">
        <v>49</v>
      </c>
    </row>
    <row r="67" ht="28.8" spans="1:18">
      <c r="A67" s="6" t="s">
        <v>832</v>
      </c>
      <c r="B67" s="6" t="s">
        <v>240</v>
      </c>
      <c r="C67" s="6" t="s">
        <v>241</v>
      </c>
      <c r="D67" s="6" t="s">
        <v>242</v>
      </c>
      <c r="E67" s="6" t="s">
        <v>540</v>
      </c>
      <c r="F67" s="6" t="s">
        <v>541</v>
      </c>
      <c r="G67" s="6" t="s">
        <v>21</v>
      </c>
      <c r="H67" s="6" t="s">
        <v>49</v>
      </c>
      <c r="I67" s="6" t="s">
        <v>49</v>
      </c>
      <c r="J67" s="6" t="s">
        <v>437</v>
      </c>
      <c r="K67" s="9">
        <v>0.76</v>
      </c>
      <c r="L67" s="9">
        <v>1213</v>
      </c>
      <c r="M67" s="14">
        <v>0.05</v>
      </c>
      <c r="N67" s="9">
        <f t="shared" si="0"/>
        <v>967.974</v>
      </c>
      <c r="O67" s="6">
        <v>1014.07</v>
      </c>
      <c r="P67" s="6" t="s">
        <v>49</v>
      </c>
      <c r="Q67" s="6" t="s">
        <v>769</v>
      </c>
      <c r="R67" s="6" t="s">
        <v>49</v>
      </c>
    </row>
    <row r="68" ht="28.8" spans="1:18">
      <c r="A68" s="6" t="s">
        <v>833</v>
      </c>
      <c r="B68" s="6" t="s">
        <v>240</v>
      </c>
      <c r="C68" s="6" t="s">
        <v>241</v>
      </c>
      <c r="D68" s="6" t="s">
        <v>242</v>
      </c>
      <c r="E68" s="6" t="s">
        <v>542</v>
      </c>
      <c r="F68" s="6" t="s">
        <v>543</v>
      </c>
      <c r="G68" s="6" t="s">
        <v>20</v>
      </c>
      <c r="H68" s="6" t="s">
        <v>49</v>
      </c>
      <c r="I68" s="6" t="s">
        <v>49</v>
      </c>
      <c r="J68" s="6" t="s">
        <v>441</v>
      </c>
      <c r="K68" s="9">
        <v>0.024</v>
      </c>
      <c r="L68" s="9">
        <v>1213</v>
      </c>
      <c r="M68" s="14">
        <v>0.03</v>
      </c>
      <c r="N68" s="9">
        <f t="shared" si="0"/>
        <v>29.98536</v>
      </c>
      <c r="O68" s="6">
        <v>33.91</v>
      </c>
      <c r="P68" s="6" t="s">
        <v>49</v>
      </c>
      <c r="Q68" s="6" t="s">
        <v>769</v>
      </c>
      <c r="R68" s="6" t="s">
        <v>49</v>
      </c>
    </row>
    <row r="69" ht="28.8" spans="1:18">
      <c r="A69" s="6" t="s">
        <v>834</v>
      </c>
      <c r="B69" s="6" t="s">
        <v>240</v>
      </c>
      <c r="C69" s="6" t="s">
        <v>241</v>
      </c>
      <c r="D69" s="6" t="s">
        <v>242</v>
      </c>
      <c r="E69" s="6" t="s">
        <v>544</v>
      </c>
      <c r="F69" s="6" t="s">
        <v>545</v>
      </c>
      <c r="G69" s="6" t="s">
        <v>20</v>
      </c>
      <c r="H69" s="6" t="s">
        <v>49</v>
      </c>
      <c r="I69" s="6" t="s">
        <v>49</v>
      </c>
      <c r="J69" s="6" t="s">
        <v>437</v>
      </c>
      <c r="K69" s="9">
        <v>0.007</v>
      </c>
      <c r="L69" s="9">
        <v>1213</v>
      </c>
      <c r="M69" s="14">
        <v>0.03</v>
      </c>
      <c r="N69" s="9">
        <f t="shared" ref="N69:N132" si="1">IF(OR(K69="",L69=""),"",K69*L69*(1+M69))</f>
        <v>8.74573</v>
      </c>
      <c r="O69" s="6">
        <v>9.35</v>
      </c>
      <c r="P69" s="6" t="s">
        <v>49</v>
      </c>
      <c r="Q69" s="6" t="s">
        <v>769</v>
      </c>
      <c r="R69" s="6" t="s">
        <v>49</v>
      </c>
    </row>
    <row r="70" ht="28.8" spans="1:18">
      <c r="A70" s="6" t="s">
        <v>835</v>
      </c>
      <c r="B70" s="6" t="s">
        <v>240</v>
      </c>
      <c r="C70" s="6" t="s">
        <v>241</v>
      </c>
      <c r="D70" s="6" t="s">
        <v>242</v>
      </c>
      <c r="E70" s="6" t="s">
        <v>546</v>
      </c>
      <c r="F70" s="6" t="s">
        <v>547</v>
      </c>
      <c r="G70" s="6" t="s">
        <v>21</v>
      </c>
      <c r="H70" s="6" t="s">
        <v>49</v>
      </c>
      <c r="I70" s="6" t="s">
        <v>49</v>
      </c>
      <c r="J70" s="6" t="s">
        <v>437</v>
      </c>
      <c r="K70" s="9">
        <v>0.76</v>
      </c>
      <c r="L70" s="9">
        <v>1213</v>
      </c>
      <c r="M70" s="14">
        <v>0.05</v>
      </c>
      <c r="N70" s="9">
        <f t="shared" si="1"/>
        <v>967.974</v>
      </c>
      <c r="O70" s="6">
        <v>2571.56</v>
      </c>
      <c r="P70" s="6" t="s">
        <v>49</v>
      </c>
      <c r="Q70" s="6" t="s">
        <v>769</v>
      </c>
      <c r="R70" s="6" t="s">
        <v>49</v>
      </c>
    </row>
    <row r="71" ht="28.8" spans="1:18">
      <c r="A71" s="6" t="s">
        <v>836</v>
      </c>
      <c r="B71" s="6" t="s">
        <v>240</v>
      </c>
      <c r="C71" s="6" t="s">
        <v>241</v>
      </c>
      <c r="D71" s="6" t="s">
        <v>242</v>
      </c>
      <c r="E71" s="6" t="s">
        <v>548</v>
      </c>
      <c r="F71" s="6" t="s">
        <v>549</v>
      </c>
      <c r="G71" s="6" t="s">
        <v>21</v>
      </c>
      <c r="H71" s="6" t="s">
        <v>49</v>
      </c>
      <c r="I71" s="6" t="s">
        <v>49</v>
      </c>
      <c r="J71" s="6" t="s">
        <v>437</v>
      </c>
      <c r="K71" s="9">
        <v>0.76</v>
      </c>
      <c r="L71" s="9">
        <v>1213</v>
      </c>
      <c r="M71" s="14">
        <v>0.05</v>
      </c>
      <c r="N71" s="9">
        <f t="shared" si="1"/>
        <v>967.974</v>
      </c>
      <c r="O71" s="6">
        <v>934.01</v>
      </c>
      <c r="P71" s="6" t="s">
        <v>49</v>
      </c>
      <c r="Q71" s="6" t="s">
        <v>769</v>
      </c>
      <c r="R71" s="6" t="s">
        <v>49</v>
      </c>
    </row>
    <row r="72" ht="28.8" spans="1:18">
      <c r="A72" s="6" t="s">
        <v>837</v>
      </c>
      <c r="B72" s="6" t="s">
        <v>245</v>
      </c>
      <c r="C72" s="6" t="s">
        <v>246</v>
      </c>
      <c r="D72" s="6" t="s">
        <v>247</v>
      </c>
      <c r="E72" s="6" t="s">
        <v>550</v>
      </c>
      <c r="F72" s="6" t="s">
        <v>541</v>
      </c>
      <c r="G72" s="6" t="s">
        <v>21</v>
      </c>
      <c r="H72" s="6" t="s">
        <v>49</v>
      </c>
      <c r="I72" s="6" t="s">
        <v>49</v>
      </c>
      <c r="J72" s="6" t="s">
        <v>437</v>
      </c>
      <c r="K72" s="9">
        <v>0.67</v>
      </c>
      <c r="L72" s="9">
        <v>80</v>
      </c>
      <c r="M72" s="14">
        <v>0.05</v>
      </c>
      <c r="N72" s="9">
        <f t="shared" si="1"/>
        <v>56.28</v>
      </c>
      <c r="O72" s="6">
        <v>58.98</v>
      </c>
      <c r="P72" s="6" t="s">
        <v>49</v>
      </c>
      <c r="Q72" s="6" t="s">
        <v>769</v>
      </c>
      <c r="R72" s="6" t="s">
        <v>49</v>
      </c>
    </row>
    <row r="73" ht="28.8" spans="1:18">
      <c r="A73" s="6" t="s">
        <v>838</v>
      </c>
      <c r="B73" s="6" t="s">
        <v>245</v>
      </c>
      <c r="C73" s="6" t="s">
        <v>246</v>
      </c>
      <c r="D73" s="6" t="s">
        <v>247</v>
      </c>
      <c r="E73" s="6" t="s">
        <v>551</v>
      </c>
      <c r="F73" s="6" t="s">
        <v>543</v>
      </c>
      <c r="G73" s="6" t="s">
        <v>20</v>
      </c>
      <c r="H73" s="6" t="s">
        <v>49</v>
      </c>
      <c r="I73" s="6" t="s">
        <v>49</v>
      </c>
      <c r="J73" s="6" t="s">
        <v>441</v>
      </c>
      <c r="K73" s="9">
        <v>0.02</v>
      </c>
      <c r="L73" s="9">
        <v>80</v>
      </c>
      <c r="M73" s="14">
        <v>0.03</v>
      </c>
      <c r="N73" s="9">
        <f t="shared" si="1"/>
        <v>1.648</v>
      </c>
      <c r="O73" s="6">
        <v>1.85</v>
      </c>
      <c r="P73" s="6" t="s">
        <v>49</v>
      </c>
      <c r="Q73" s="6" t="s">
        <v>769</v>
      </c>
      <c r="R73" s="6" t="s">
        <v>49</v>
      </c>
    </row>
    <row r="74" ht="28.8" spans="1:18">
      <c r="A74" s="6" t="s">
        <v>839</v>
      </c>
      <c r="B74" s="6" t="s">
        <v>245</v>
      </c>
      <c r="C74" s="6" t="s">
        <v>246</v>
      </c>
      <c r="D74" s="6" t="s">
        <v>247</v>
      </c>
      <c r="E74" s="6" t="s">
        <v>552</v>
      </c>
      <c r="F74" s="6" t="s">
        <v>545</v>
      </c>
      <c r="G74" s="6" t="s">
        <v>20</v>
      </c>
      <c r="H74" s="6" t="s">
        <v>49</v>
      </c>
      <c r="I74" s="6" t="s">
        <v>49</v>
      </c>
      <c r="J74" s="6" t="s">
        <v>437</v>
      </c>
      <c r="K74" s="9">
        <v>0.019</v>
      </c>
      <c r="L74" s="9">
        <v>80</v>
      </c>
      <c r="M74" s="14">
        <v>0.03</v>
      </c>
      <c r="N74" s="9">
        <f t="shared" si="1"/>
        <v>1.5656</v>
      </c>
      <c r="O74" s="6">
        <v>0.55</v>
      </c>
      <c r="P74" s="6" t="s">
        <v>49</v>
      </c>
      <c r="Q74" s="6" t="s">
        <v>769</v>
      </c>
      <c r="R74" s="6" t="s">
        <v>49</v>
      </c>
    </row>
    <row r="75" ht="28.8" spans="1:18">
      <c r="A75" s="6" t="s">
        <v>840</v>
      </c>
      <c r="B75" s="6" t="s">
        <v>245</v>
      </c>
      <c r="C75" s="6" t="s">
        <v>246</v>
      </c>
      <c r="D75" s="6" t="s">
        <v>247</v>
      </c>
      <c r="E75" s="6" t="s">
        <v>553</v>
      </c>
      <c r="F75" s="6" t="s">
        <v>554</v>
      </c>
      <c r="G75" s="6" t="s">
        <v>21</v>
      </c>
      <c r="H75" s="6" t="s">
        <v>49</v>
      </c>
      <c r="I75" s="6" t="s">
        <v>49</v>
      </c>
      <c r="J75" s="6" t="s">
        <v>437</v>
      </c>
      <c r="K75" s="9">
        <v>0.67</v>
      </c>
      <c r="L75" s="9">
        <v>80</v>
      </c>
      <c r="M75" s="14">
        <v>0.05</v>
      </c>
      <c r="N75" s="9">
        <f t="shared" si="1"/>
        <v>56.28</v>
      </c>
      <c r="O75" s="6">
        <v>168</v>
      </c>
      <c r="P75" s="6" t="s">
        <v>49</v>
      </c>
      <c r="Q75" s="6" t="s">
        <v>769</v>
      </c>
      <c r="R75" s="6" t="s">
        <v>49</v>
      </c>
    </row>
    <row r="76" ht="28.8" spans="1:18">
      <c r="A76" s="6" t="s">
        <v>841</v>
      </c>
      <c r="B76" s="6" t="s">
        <v>245</v>
      </c>
      <c r="C76" s="6" t="s">
        <v>246</v>
      </c>
      <c r="D76" s="6" t="s">
        <v>247</v>
      </c>
      <c r="E76" s="6" t="s">
        <v>555</v>
      </c>
      <c r="F76" s="6" t="s">
        <v>556</v>
      </c>
      <c r="G76" s="6" t="s">
        <v>21</v>
      </c>
      <c r="H76" s="6" t="s">
        <v>49</v>
      </c>
      <c r="I76" s="6" t="s">
        <v>49</v>
      </c>
      <c r="J76" s="6" t="s">
        <v>437</v>
      </c>
      <c r="K76" s="9">
        <v>0.67</v>
      </c>
      <c r="L76" s="9">
        <v>80</v>
      </c>
      <c r="M76" s="14">
        <v>0.05</v>
      </c>
      <c r="N76" s="9">
        <f t="shared" si="1"/>
        <v>56.28</v>
      </c>
      <c r="O76" s="6">
        <v>61.6</v>
      </c>
      <c r="P76" s="6" t="s">
        <v>49</v>
      </c>
      <c r="Q76" s="6" t="s">
        <v>769</v>
      </c>
      <c r="R76" s="6" t="s">
        <v>49</v>
      </c>
    </row>
    <row r="77" ht="28.8" spans="1:18">
      <c r="A77" s="6" t="s">
        <v>842</v>
      </c>
      <c r="B77" s="6" t="s">
        <v>249</v>
      </c>
      <c r="C77" s="6" t="s">
        <v>250</v>
      </c>
      <c r="D77" s="6" t="s">
        <v>251</v>
      </c>
      <c r="E77" s="6" t="s">
        <v>557</v>
      </c>
      <c r="F77" s="6" t="s">
        <v>541</v>
      </c>
      <c r="G77" s="6" t="s">
        <v>21</v>
      </c>
      <c r="H77" s="6" t="s">
        <v>49</v>
      </c>
      <c r="I77" s="6" t="s">
        <v>49</v>
      </c>
      <c r="J77" s="6" t="s">
        <v>437</v>
      </c>
      <c r="K77" s="9">
        <v>0.73</v>
      </c>
      <c r="L77" s="9">
        <v>378</v>
      </c>
      <c r="M77" s="14">
        <v>0.05</v>
      </c>
      <c r="N77" s="9">
        <f t="shared" si="1"/>
        <v>289.737</v>
      </c>
      <c r="O77" s="6">
        <v>303.54</v>
      </c>
      <c r="P77" s="6" t="s">
        <v>49</v>
      </c>
      <c r="Q77" s="6" t="s">
        <v>769</v>
      </c>
      <c r="R77" s="6" t="s">
        <v>49</v>
      </c>
    </row>
    <row r="78" ht="28.8" spans="1:18">
      <c r="A78" s="6" t="s">
        <v>843</v>
      </c>
      <c r="B78" s="6" t="s">
        <v>249</v>
      </c>
      <c r="C78" s="6" t="s">
        <v>250</v>
      </c>
      <c r="D78" s="6" t="s">
        <v>251</v>
      </c>
      <c r="E78" s="6" t="s">
        <v>558</v>
      </c>
      <c r="F78" s="6" t="s">
        <v>559</v>
      </c>
      <c r="G78" s="6" t="s">
        <v>21</v>
      </c>
      <c r="H78" s="6" t="s">
        <v>49</v>
      </c>
      <c r="I78" s="6" t="s">
        <v>49</v>
      </c>
      <c r="J78" s="6" t="s">
        <v>437</v>
      </c>
      <c r="K78" s="9">
        <v>0.03</v>
      </c>
      <c r="L78" s="9">
        <v>378</v>
      </c>
      <c r="M78" s="14">
        <v>0.05</v>
      </c>
      <c r="N78" s="9">
        <f t="shared" si="1"/>
        <v>11.907</v>
      </c>
      <c r="O78" s="6">
        <v>13.06</v>
      </c>
      <c r="P78" s="6" t="s">
        <v>49</v>
      </c>
      <c r="Q78" s="6" t="s">
        <v>769</v>
      </c>
      <c r="R78" s="6" t="s">
        <v>49</v>
      </c>
    </row>
    <row r="79" ht="28.8" spans="1:18">
      <c r="A79" s="6" t="s">
        <v>844</v>
      </c>
      <c r="B79" s="6" t="s">
        <v>253</v>
      </c>
      <c r="C79" s="6" t="s">
        <v>254</v>
      </c>
      <c r="D79" s="6" t="s">
        <v>255</v>
      </c>
      <c r="E79" s="6" t="s">
        <v>560</v>
      </c>
      <c r="F79" s="6" t="s">
        <v>541</v>
      </c>
      <c r="G79" s="6" t="s">
        <v>21</v>
      </c>
      <c r="H79" s="6" t="s">
        <v>49</v>
      </c>
      <c r="I79" s="6" t="s">
        <v>49</v>
      </c>
      <c r="J79" s="6" t="s">
        <v>437</v>
      </c>
      <c r="K79" s="9">
        <v>0.65</v>
      </c>
      <c r="L79" s="9">
        <v>87</v>
      </c>
      <c r="M79" s="14">
        <v>0.05</v>
      </c>
      <c r="N79" s="9">
        <f t="shared" si="1"/>
        <v>59.3775</v>
      </c>
      <c r="O79" s="6">
        <v>59.38</v>
      </c>
      <c r="P79" s="6" t="s">
        <v>49</v>
      </c>
      <c r="Q79" s="6" t="s">
        <v>769</v>
      </c>
      <c r="R79" s="6" t="s">
        <v>49</v>
      </c>
    </row>
    <row r="80" ht="28.8" spans="1:18">
      <c r="A80" s="6" t="s">
        <v>845</v>
      </c>
      <c r="B80" s="6" t="s">
        <v>253</v>
      </c>
      <c r="C80" s="6" t="s">
        <v>254</v>
      </c>
      <c r="D80" s="6" t="s">
        <v>255</v>
      </c>
      <c r="E80" s="6" t="s">
        <v>561</v>
      </c>
      <c r="F80" s="6" t="s">
        <v>559</v>
      </c>
      <c r="G80" s="6" t="s">
        <v>21</v>
      </c>
      <c r="H80" s="6" t="s">
        <v>49</v>
      </c>
      <c r="I80" s="6" t="s">
        <v>49</v>
      </c>
      <c r="J80" s="6" t="s">
        <v>437</v>
      </c>
      <c r="K80" s="9">
        <v>0.03</v>
      </c>
      <c r="L80" s="9">
        <v>87</v>
      </c>
      <c r="M80" s="14">
        <v>0.05</v>
      </c>
      <c r="N80" s="9">
        <f t="shared" si="1"/>
        <v>2.7405</v>
      </c>
      <c r="O80" s="6">
        <v>3.02</v>
      </c>
      <c r="P80" s="6" t="s">
        <v>49</v>
      </c>
      <c r="Q80" s="6" t="s">
        <v>769</v>
      </c>
      <c r="R80" s="6" t="s">
        <v>49</v>
      </c>
    </row>
    <row r="81" ht="28.8" spans="1:18">
      <c r="A81" s="6" t="s">
        <v>846</v>
      </c>
      <c r="B81" s="6" t="s">
        <v>256</v>
      </c>
      <c r="C81" s="6" t="s">
        <v>257</v>
      </c>
      <c r="D81" s="6" t="s">
        <v>242</v>
      </c>
      <c r="E81" s="6" t="s">
        <v>562</v>
      </c>
      <c r="F81" s="6" t="s">
        <v>541</v>
      </c>
      <c r="G81" s="6" t="s">
        <v>21</v>
      </c>
      <c r="H81" s="6" t="s">
        <v>49</v>
      </c>
      <c r="I81" s="6" t="s">
        <v>49</v>
      </c>
      <c r="J81" s="6" t="s">
        <v>437</v>
      </c>
      <c r="K81" s="9">
        <v>0.6</v>
      </c>
      <c r="L81" s="9">
        <v>3295</v>
      </c>
      <c r="M81" s="14">
        <v>0.05</v>
      </c>
      <c r="N81" s="9">
        <f t="shared" si="1"/>
        <v>2075.85</v>
      </c>
      <c r="O81" s="6">
        <v>2174.7</v>
      </c>
      <c r="P81" s="6" t="s">
        <v>49</v>
      </c>
      <c r="Q81" s="6" t="s">
        <v>769</v>
      </c>
      <c r="R81" s="6" t="s">
        <v>49</v>
      </c>
    </row>
    <row r="82" ht="28.8" spans="1:18">
      <c r="A82" s="6" t="s">
        <v>847</v>
      </c>
      <c r="B82" s="6" t="s">
        <v>256</v>
      </c>
      <c r="C82" s="6" t="s">
        <v>257</v>
      </c>
      <c r="D82" s="6" t="s">
        <v>242</v>
      </c>
      <c r="E82" s="6" t="s">
        <v>563</v>
      </c>
      <c r="F82" s="6" t="s">
        <v>564</v>
      </c>
      <c r="G82" s="6" t="s">
        <v>20</v>
      </c>
      <c r="H82" s="6" t="s">
        <v>49</v>
      </c>
      <c r="I82" s="6" t="s">
        <v>49</v>
      </c>
      <c r="J82" s="6" t="s">
        <v>441</v>
      </c>
      <c r="K82" s="9">
        <v>0.038</v>
      </c>
      <c r="L82" s="9">
        <v>3295</v>
      </c>
      <c r="M82" s="14">
        <v>0.03</v>
      </c>
      <c r="N82" s="9">
        <f t="shared" si="1"/>
        <v>128.9663</v>
      </c>
      <c r="O82" s="6">
        <v>144</v>
      </c>
      <c r="P82" s="6" t="s">
        <v>49</v>
      </c>
      <c r="Q82" s="6" t="s">
        <v>769</v>
      </c>
      <c r="R82" s="6" t="s">
        <v>49</v>
      </c>
    </row>
    <row r="83" ht="28.8" spans="1:18">
      <c r="A83" s="6" t="s">
        <v>848</v>
      </c>
      <c r="B83" s="6" t="s">
        <v>256</v>
      </c>
      <c r="C83" s="6" t="s">
        <v>257</v>
      </c>
      <c r="D83" s="6" t="s">
        <v>242</v>
      </c>
      <c r="E83" s="6" t="s">
        <v>565</v>
      </c>
      <c r="F83" s="6" t="s">
        <v>545</v>
      </c>
      <c r="G83" s="6" t="s">
        <v>20</v>
      </c>
      <c r="H83" s="6" t="s">
        <v>49</v>
      </c>
      <c r="I83" s="6" t="s">
        <v>49</v>
      </c>
      <c r="J83" s="6" t="s">
        <v>437</v>
      </c>
      <c r="K83" s="9">
        <v>0.012</v>
      </c>
      <c r="L83" s="9">
        <v>3295</v>
      </c>
      <c r="M83" s="14">
        <v>0.03</v>
      </c>
      <c r="N83" s="9">
        <f t="shared" si="1"/>
        <v>40.7262</v>
      </c>
      <c r="O83" s="6">
        <v>43.51</v>
      </c>
      <c r="P83" s="6" t="s">
        <v>49</v>
      </c>
      <c r="Q83" s="6" t="s">
        <v>769</v>
      </c>
      <c r="R83" s="6" t="s">
        <v>49</v>
      </c>
    </row>
    <row r="84" ht="28.8" spans="1:18">
      <c r="A84" s="6" t="s">
        <v>849</v>
      </c>
      <c r="B84" s="6" t="s">
        <v>256</v>
      </c>
      <c r="C84" s="6" t="s">
        <v>257</v>
      </c>
      <c r="D84" s="6" t="s">
        <v>242</v>
      </c>
      <c r="E84" s="6" t="s">
        <v>566</v>
      </c>
      <c r="F84" s="6" t="s">
        <v>567</v>
      </c>
      <c r="G84" s="6" t="s">
        <v>21</v>
      </c>
      <c r="H84" s="6" t="s">
        <v>49</v>
      </c>
      <c r="I84" s="6" t="s">
        <v>49</v>
      </c>
      <c r="J84" s="6" t="s">
        <v>437</v>
      </c>
      <c r="K84" s="9">
        <v>0.6</v>
      </c>
      <c r="L84" s="9">
        <v>3295</v>
      </c>
      <c r="M84" s="14">
        <v>0.05</v>
      </c>
      <c r="N84" s="9">
        <f t="shared" si="1"/>
        <v>2075.85</v>
      </c>
      <c r="O84" s="6">
        <v>6985.4</v>
      </c>
      <c r="P84" s="6" t="s">
        <v>49</v>
      </c>
      <c r="Q84" s="6" t="s">
        <v>769</v>
      </c>
      <c r="R84" s="6" t="s">
        <v>49</v>
      </c>
    </row>
    <row r="85" ht="28.8" spans="1:18">
      <c r="A85" s="6" t="s">
        <v>850</v>
      </c>
      <c r="B85" s="6" t="s">
        <v>256</v>
      </c>
      <c r="C85" s="6" t="s">
        <v>257</v>
      </c>
      <c r="D85" s="6" t="s">
        <v>242</v>
      </c>
      <c r="E85" s="6" t="s">
        <v>568</v>
      </c>
      <c r="F85" s="6" t="s">
        <v>569</v>
      </c>
      <c r="G85" s="6" t="s">
        <v>21</v>
      </c>
      <c r="H85" s="6" t="s">
        <v>49</v>
      </c>
      <c r="I85" s="6" t="s">
        <v>49</v>
      </c>
      <c r="J85" s="6" t="s">
        <v>437</v>
      </c>
      <c r="K85" s="9">
        <v>0.6</v>
      </c>
      <c r="L85" s="9">
        <v>3295</v>
      </c>
      <c r="M85" s="14">
        <v>0.05</v>
      </c>
      <c r="N85" s="9">
        <f t="shared" si="1"/>
        <v>2075.85</v>
      </c>
      <c r="O85" s="6">
        <v>3443.28</v>
      </c>
      <c r="P85" s="6" t="s">
        <v>49</v>
      </c>
      <c r="Q85" s="6" t="s">
        <v>769</v>
      </c>
      <c r="R85" s="6" t="s">
        <v>49</v>
      </c>
    </row>
    <row r="86" ht="28.8" spans="1:18">
      <c r="A86" s="6" t="s">
        <v>851</v>
      </c>
      <c r="B86" s="6" t="s">
        <v>259</v>
      </c>
      <c r="C86" s="6" t="s">
        <v>260</v>
      </c>
      <c r="D86" s="6" t="s">
        <v>247</v>
      </c>
      <c r="E86" s="6" t="s">
        <v>570</v>
      </c>
      <c r="F86" s="6" t="s">
        <v>541</v>
      </c>
      <c r="G86" s="6" t="s">
        <v>21</v>
      </c>
      <c r="H86" s="6" t="s">
        <v>49</v>
      </c>
      <c r="I86" s="6" t="s">
        <v>49</v>
      </c>
      <c r="J86" s="6" t="s">
        <v>437</v>
      </c>
      <c r="K86" s="9">
        <v>0.465</v>
      </c>
      <c r="L86" s="9">
        <v>206</v>
      </c>
      <c r="M86" s="14">
        <v>0.05</v>
      </c>
      <c r="N86" s="9">
        <f t="shared" si="1"/>
        <v>100.5795</v>
      </c>
      <c r="O86" s="6">
        <v>105.4</v>
      </c>
      <c r="P86" s="6" t="s">
        <v>49</v>
      </c>
      <c r="Q86" s="6" t="s">
        <v>769</v>
      </c>
      <c r="R86" s="6" t="s">
        <v>49</v>
      </c>
    </row>
    <row r="87" ht="28.8" spans="1:18">
      <c r="A87" s="6" t="s">
        <v>852</v>
      </c>
      <c r="B87" s="6" t="s">
        <v>259</v>
      </c>
      <c r="C87" s="6" t="s">
        <v>260</v>
      </c>
      <c r="D87" s="6" t="s">
        <v>247</v>
      </c>
      <c r="E87" s="6" t="s">
        <v>571</v>
      </c>
      <c r="F87" s="6" t="s">
        <v>564</v>
      </c>
      <c r="G87" s="6" t="s">
        <v>20</v>
      </c>
      <c r="H87" s="6" t="s">
        <v>49</v>
      </c>
      <c r="I87" s="6" t="s">
        <v>49</v>
      </c>
      <c r="J87" s="6" t="s">
        <v>441</v>
      </c>
      <c r="K87" s="9">
        <v>0.034</v>
      </c>
      <c r="L87" s="9">
        <v>206</v>
      </c>
      <c r="M87" s="14">
        <v>0.03</v>
      </c>
      <c r="N87" s="9">
        <f t="shared" si="1"/>
        <v>7.21412</v>
      </c>
      <c r="O87" s="6">
        <v>8.07</v>
      </c>
      <c r="P87" s="6" t="s">
        <v>49</v>
      </c>
      <c r="Q87" s="6" t="s">
        <v>769</v>
      </c>
      <c r="R87" s="6" t="s">
        <v>49</v>
      </c>
    </row>
    <row r="88" ht="28.8" spans="1:18">
      <c r="A88" s="6" t="s">
        <v>853</v>
      </c>
      <c r="B88" s="6" t="s">
        <v>259</v>
      </c>
      <c r="C88" s="6" t="s">
        <v>260</v>
      </c>
      <c r="D88" s="6" t="s">
        <v>247</v>
      </c>
      <c r="E88" s="6" t="s">
        <v>572</v>
      </c>
      <c r="F88" s="6" t="s">
        <v>545</v>
      </c>
      <c r="G88" s="6" t="s">
        <v>20</v>
      </c>
      <c r="H88" s="6" t="s">
        <v>49</v>
      </c>
      <c r="I88" s="6" t="s">
        <v>49</v>
      </c>
      <c r="J88" s="6" t="s">
        <v>437</v>
      </c>
      <c r="K88" s="9">
        <v>0.01</v>
      </c>
      <c r="L88" s="9">
        <v>206</v>
      </c>
      <c r="M88" s="14">
        <v>0.03</v>
      </c>
      <c r="N88" s="9">
        <f t="shared" si="1"/>
        <v>2.1218</v>
      </c>
      <c r="O88" s="6">
        <v>2.29</v>
      </c>
      <c r="P88" s="6" t="s">
        <v>49</v>
      </c>
      <c r="Q88" s="6" t="s">
        <v>769</v>
      </c>
      <c r="R88" s="6" t="s">
        <v>49</v>
      </c>
    </row>
    <row r="89" ht="28.8" spans="1:18">
      <c r="A89" s="6" t="s">
        <v>854</v>
      </c>
      <c r="B89" s="6" t="s">
        <v>259</v>
      </c>
      <c r="C89" s="6" t="s">
        <v>260</v>
      </c>
      <c r="D89" s="6" t="s">
        <v>247</v>
      </c>
      <c r="E89" s="6" t="s">
        <v>573</v>
      </c>
      <c r="F89" s="6" t="s">
        <v>574</v>
      </c>
      <c r="G89" s="6" t="s">
        <v>21</v>
      </c>
      <c r="H89" s="6" t="s">
        <v>49</v>
      </c>
      <c r="I89" s="6" t="s">
        <v>49</v>
      </c>
      <c r="J89" s="6" t="s">
        <v>437</v>
      </c>
      <c r="K89" s="9">
        <v>0.465</v>
      </c>
      <c r="L89" s="9">
        <v>206</v>
      </c>
      <c r="M89" s="14">
        <v>0.05</v>
      </c>
      <c r="N89" s="9">
        <f t="shared" si="1"/>
        <v>100.5795</v>
      </c>
      <c r="O89" s="6">
        <v>436.72</v>
      </c>
      <c r="P89" s="6" t="s">
        <v>49</v>
      </c>
      <c r="Q89" s="6" t="s">
        <v>769</v>
      </c>
      <c r="R89" s="6" t="s">
        <v>49</v>
      </c>
    </row>
    <row r="90" ht="28.8" spans="1:18">
      <c r="A90" s="6" t="s">
        <v>855</v>
      </c>
      <c r="B90" s="6" t="s">
        <v>259</v>
      </c>
      <c r="C90" s="6" t="s">
        <v>260</v>
      </c>
      <c r="D90" s="6" t="s">
        <v>247</v>
      </c>
      <c r="E90" s="6" t="s">
        <v>575</v>
      </c>
      <c r="F90" s="6" t="s">
        <v>576</v>
      </c>
      <c r="G90" s="6" t="s">
        <v>21</v>
      </c>
      <c r="H90" s="6" t="s">
        <v>49</v>
      </c>
      <c r="I90" s="6" t="s">
        <v>49</v>
      </c>
      <c r="J90" s="6" t="s">
        <v>437</v>
      </c>
      <c r="K90" s="9">
        <v>0.465</v>
      </c>
      <c r="L90" s="9">
        <v>206</v>
      </c>
      <c r="M90" s="14">
        <v>0.05</v>
      </c>
      <c r="N90" s="9">
        <f t="shared" si="1"/>
        <v>100.5795</v>
      </c>
      <c r="O90" s="6">
        <v>215.28</v>
      </c>
      <c r="P90" s="6" t="s">
        <v>49</v>
      </c>
      <c r="Q90" s="6" t="s">
        <v>769</v>
      </c>
      <c r="R90" s="6" t="s">
        <v>49</v>
      </c>
    </row>
    <row r="91" ht="28.8" spans="1:18">
      <c r="A91" s="6" t="s">
        <v>856</v>
      </c>
      <c r="B91" s="6" t="s">
        <v>262</v>
      </c>
      <c r="C91" s="6" t="s">
        <v>263</v>
      </c>
      <c r="D91" s="6" t="s">
        <v>264</v>
      </c>
      <c r="E91" s="6" t="s">
        <v>577</v>
      </c>
      <c r="F91" s="6" t="s">
        <v>541</v>
      </c>
      <c r="G91" s="6" t="s">
        <v>21</v>
      </c>
      <c r="H91" s="6" t="s">
        <v>49</v>
      </c>
      <c r="I91" s="6" t="s">
        <v>49</v>
      </c>
      <c r="J91" s="6" t="s">
        <v>437</v>
      </c>
      <c r="K91" s="9">
        <v>0.625</v>
      </c>
      <c r="L91" s="9">
        <v>1700</v>
      </c>
      <c r="M91" s="14">
        <v>0.05</v>
      </c>
      <c r="N91" s="9">
        <f t="shared" si="1"/>
        <v>1115.625</v>
      </c>
      <c r="O91" s="6">
        <v>1168.77</v>
      </c>
      <c r="P91" s="6" t="s">
        <v>49</v>
      </c>
      <c r="Q91" s="6" t="s">
        <v>769</v>
      </c>
      <c r="R91" s="6" t="s">
        <v>49</v>
      </c>
    </row>
    <row r="92" ht="28.8" spans="1:18">
      <c r="A92" s="6" t="s">
        <v>857</v>
      </c>
      <c r="B92" s="6" t="s">
        <v>262</v>
      </c>
      <c r="C92" s="6" t="s">
        <v>263</v>
      </c>
      <c r="D92" s="6" t="s">
        <v>264</v>
      </c>
      <c r="E92" s="6" t="s">
        <v>578</v>
      </c>
      <c r="F92" s="6" t="s">
        <v>579</v>
      </c>
      <c r="G92" s="6" t="s">
        <v>20</v>
      </c>
      <c r="H92" s="6" t="s">
        <v>49</v>
      </c>
      <c r="I92" s="6" t="s">
        <v>49</v>
      </c>
      <c r="J92" s="6" t="s">
        <v>441</v>
      </c>
      <c r="K92" s="9">
        <v>0.016</v>
      </c>
      <c r="L92" s="9">
        <v>1700</v>
      </c>
      <c r="M92" s="14">
        <v>0.03</v>
      </c>
      <c r="N92" s="9">
        <f t="shared" si="1"/>
        <v>28.016</v>
      </c>
      <c r="O92" s="6">
        <v>31.3</v>
      </c>
      <c r="P92" s="6" t="s">
        <v>49</v>
      </c>
      <c r="Q92" s="6" t="s">
        <v>769</v>
      </c>
      <c r="R92" s="6" t="s">
        <v>49</v>
      </c>
    </row>
    <row r="93" ht="28.8" spans="1:18">
      <c r="A93" s="6" t="s">
        <v>858</v>
      </c>
      <c r="B93" s="6" t="s">
        <v>262</v>
      </c>
      <c r="C93" s="6" t="s">
        <v>263</v>
      </c>
      <c r="D93" s="6" t="s">
        <v>264</v>
      </c>
      <c r="E93" s="6" t="s">
        <v>580</v>
      </c>
      <c r="F93" s="6" t="s">
        <v>545</v>
      </c>
      <c r="G93" s="6" t="s">
        <v>20</v>
      </c>
      <c r="H93" s="6" t="s">
        <v>49</v>
      </c>
      <c r="I93" s="6" t="s">
        <v>49</v>
      </c>
      <c r="J93" s="6" t="s">
        <v>437</v>
      </c>
      <c r="K93" s="9">
        <v>0.005</v>
      </c>
      <c r="L93" s="9">
        <v>1700</v>
      </c>
      <c r="M93" s="14">
        <v>0.03</v>
      </c>
      <c r="N93" s="9">
        <f t="shared" si="1"/>
        <v>8.755</v>
      </c>
      <c r="O93" s="6">
        <v>9.36</v>
      </c>
      <c r="P93" s="6" t="s">
        <v>49</v>
      </c>
      <c r="Q93" s="6" t="s">
        <v>769</v>
      </c>
      <c r="R93" s="6" t="s">
        <v>49</v>
      </c>
    </row>
    <row r="94" ht="28.8" spans="1:18">
      <c r="A94" s="6" t="s">
        <v>859</v>
      </c>
      <c r="B94" s="6" t="s">
        <v>262</v>
      </c>
      <c r="C94" s="6" t="s">
        <v>263</v>
      </c>
      <c r="D94" s="6" t="s">
        <v>264</v>
      </c>
      <c r="E94" s="6" t="s">
        <v>581</v>
      </c>
      <c r="F94" s="6" t="s">
        <v>582</v>
      </c>
      <c r="G94" s="6" t="s">
        <v>21</v>
      </c>
      <c r="H94" s="6" t="s">
        <v>49</v>
      </c>
      <c r="I94" s="6" t="s">
        <v>49</v>
      </c>
      <c r="J94" s="6" t="s">
        <v>437</v>
      </c>
      <c r="K94" s="9">
        <v>0.625</v>
      </c>
      <c r="L94" s="9">
        <v>1700</v>
      </c>
      <c r="M94" s="14">
        <v>0.05</v>
      </c>
      <c r="N94" s="9">
        <f t="shared" si="1"/>
        <v>1115.625</v>
      </c>
      <c r="O94" s="6">
        <v>3604</v>
      </c>
      <c r="P94" s="6" t="s">
        <v>49</v>
      </c>
      <c r="Q94" s="6" t="s">
        <v>769</v>
      </c>
      <c r="R94" s="6" t="s">
        <v>49</v>
      </c>
    </row>
    <row r="95" ht="28.8" spans="1:18">
      <c r="A95" s="6" t="s">
        <v>860</v>
      </c>
      <c r="B95" s="6" t="s">
        <v>262</v>
      </c>
      <c r="C95" s="6" t="s">
        <v>263</v>
      </c>
      <c r="D95" s="6" t="s">
        <v>264</v>
      </c>
      <c r="E95" s="6" t="s">
        <v>583</v>
      </c>
      <c r="F95" s="6" t="s">
        <v>584</v>
      </c>
      <c r="G95" s="6" t="s">
        <v>21</v>
      </c>
      <c r="H95" s="6" t="s">
        <v>49</v>
      </c>
      <c r="I95" s="6" t="s">
        <v>49</v>
      </c>
      <c r="J95" s="6" t="s">
        <v>437</v>
      </c>
      <c r="K95" s="9">
        <v>0.625</v>
      </c>
      <c r="L95" s="9">
        <v>1700</v>
      </c>
      <c r="M95" s="14">
        <v>0.05</v>
      </c>
      <c r="N95" s="9">
        <f t="shared" si="1"/>
        <v>1115.625</v>
      </c>
      <c r="O95" s="6">
        <v>1776.51</v>
      </c>
      <c r="P95" s="6" t="s">
        <v>49</v>
      </c>
      <c r="Q95" s="6" t="s">
        <v>769</v>
      </c>
      <c r="R95" s="6" t="s">
        <v>49</v>
      </c>
    </row>
    <row r="96" ht="28.8" spans="1:18">
      <c r="A96" s="6" t="s">
        <v>861</v>
      </c>
      <c r="B96" s="6" t="s">
        <v>266</v>
      </c>
      <c r="C96" s="6" t="s">
        <v>267</v>
      </c>
      <c r="D96" s="6" t="s">
        <v>268</v>
      </c>
      <c r="E96" s="6" t="s">
        <v>585</v>
      </c>
      <c r="F96" s="6" t="s">
        <v>541</v>
      </c>
      <c r="G96" s="6" t="s">
        <v>21</v>
      </c>
      <c r="H96" s="6" t="s">
        <v>49</v>
      </c>
      <c r="I96" s="6" t="s">
        <v>49</v>
      </c>
      <c r="J96" s="6" t="s">
        <v>437</v>
      </c>
      <c r="K96" s="9">
        <v>0.5</v>
      </c>
      <c r="L96" s="9">
        <v>73</v>
      </c>
      <c r="M96" s="14">
        <v>0.05</v>
      </c>
      <c r="N96" s="9">
        <f t="shared" si="1"/>
        <v>38.325</v>
      </c>
      <c r="O96" s="6">
        <v>40.15</v>
      </c>
      <c r="P96" s="6" t="s">
        <v>49</v>
      </c>
      <c r="Q96" s="6" t="s">
        <v>769</v>
      </c>
      <c r="R96" s="6" t="s">
        <v>49</v>
      </c>
    </row>
    <row r="97" ht="28.8" spans="1:18">
      <c r="A97" s="6" t="s">
        <v>862</v>
      </c>
      <c r="B97" s="6" t="s">
        <v>266</v>
      </c>
      <c r="C97" s="6" t="s">
        <v>267</v>
      </c>
      <c r="D97" s="6" t="s">
        <v>268</v>
      </c>
      <c r="E97" s="6" t="s">
        <v>586</v>
      </c>
      <c r="F97" s="6" t="s">
        <v>564</v>
      </c>
      <c r="G97" s="6" t="s">
        <v>20</v>
      </c>
      <c r="H97" s="6" t="s">
        <v>49</v>
      </c>
      <c r="I97" s="6" t="s">
        <v>49</v>
      </c>
      <c r="J97" s="6" t="s">
        <v>441</v>
      </c>
      <c r="K97" s="9">
        <v>0.014</v>
      </c>
      <c r="L97" s="9">
        <v>73</v>
      </c>
      <c r="M97" s="14">
        <v>0.03</v>
      </c>
      <c r="N97" s="9">
        <f t="shared" si="1"/>
        <v>1.05266</v>
      </c>
      <c r="O97" s="6">
        <v>1.19</v>
      </c>
      <c r="P97" s="6" t="s">
        <v>49</v>
      </c>
      <c r="Q97" s="6" t="s">
        <v>769</v>
      </c>
      <c r="R97" s="6" t="s">
        <v>49</v>
      </c>
    </row>
    <row r="98" ht="28.8" spans="1:18">
      <c r="A98" s="6" t="s">
        <v>863</v>
      </c>
      <c r="B98" s="6" t="s">
        <v>266</v>
      </c>
      <c r="C98" s="6" t="s">
        <v>267</v>
      </c>
      <c r="D98" s="6" t="s">
        <v>268</v>
      </c>
      <c r="E98" s="6" t="s">
        <v>587</v>
      </c>
      <c r="F98" s="6" t="s">
        <v>545</v>
      </c>
      <c r="G98" s="6" t="s">
        <v>20</v>
      </c>
      <c r="H98" s="6" t="s">
        <v>49</v>
      </c>
      <c r="I98" s="6" t="s">
        <v>49</v>
      </c>
      <c r="J98" s="6" t="s">
        <v>437</v>
      </c>
      <c r="K98" s="9">
        <v>0.5</v>
      </c>
      <c r="L98" s="9">
        <v>73</v>
      </c>
      <c r="M98" s="14">
        <v>0.03</v>
      </c>
      <c r="N98" s="9">
        <f t="shared" si="1"/>
        <v>37.595</v>
      </c>
      <c r="O98" s="6">
        <v>0.32</v>
      </c>
      <c r="P98" s="6" t="s">
        <v>49</v>
      </c>
      <c r="Q98" s="6" t="s">
        <v>769</v>
      </c>
      <c r="R98" s="6" t="s">
        <v>49</v>
      </c>
    </row>
    <row r="99" ht="28.8" spans="1:18">
      <c r="A99" s="6" t="s">
        <v>864</v>
      </c>
      <c r="B99" s="6" t="s">
        <v>266</v>
      </c>
      <c r="C99" s="6" t="s">
        <v>267</v>
      </c>
      <c r="D99" s="6" t="s">
        <v>268</v>
      </c>
      <c r="E99" s="6" t="s">
        <v>588</v>
      </c>
      <c r="F99" s="6" t="s">
        <v>589</v>
      </c>
      <c r="G99" s="6" t="s">
        <v>21</v>
      </c>
      <c r="H99" s="6" t="s">
        <v>49</v>
      </c>
      <c r="I99" s="6" t="s">
        <v>49</v>
      </c>
      <c r="J99" s="6" t="s">
        <v>437</v>
      </c>
      <c r="K99" s="9">
        <v>0.5</v>
      </c>
      <c r="L99" s="9">
        <v>73</v>
      </c>
      <c r="M99" s="14">
        <v>0.05</v>
      </c>
      <c r="N99" s="9">
        <f t="shared" si="1"/>
        <v>38.325</v>
      </c>
      <c r="O99" s="6">
        <v>154.76</v>
      </c>
      <c r="P99" s="6" t="s">
        <v>49</v>
      </c>
      <c r="Q99" s="6" t="s">
        <v>769</v>
      </c>
      <c r="R99" s="6" t="s">
        <v>49</v>
      </c>
    </row>
    <row r="100" ht="28.8" spans="1:18">
      <c r="A100" s="6" t="s">
        <v>865</v>
      </c>
      <c r="B100" s="6" t="s">
        <v>266</v>
      </c>
      <c r="C100" s="6" t="s">
        <v>267</v>
      </c>
      <c r="D100" s="6" t="s">
        <v>268</v>
      </c>
      <c r="E100" s="6" t="s">
        <v>590</v>
      </c>
      <c r="F100" s="6" t="s">
        <v>591</v>
      </c>
      <c r="G100" s="6" t="s">
        <v>21</v>
      </c>
      <c r="H100" s="6" t="s">
        <v>49</v>
      </c>
      <c r="I100" s="6" t="s">
        <v>49</v>
      </c>
      <c r="J100" s="6" t="s">
        <v>437</v>
      </c>
      <c r="K100" s="9">
        <v>0.5</v>
      </c>
      <c r="L100" s="9">
        <v>73</v>
      </c>
      <c r="M100" s="14">
        <v>0.05</v>
      </c>
      <c r="N100" s="9">
        <f t="shared" si="1"/>
        <v>38.325</v>
      </c>
      <c r="O100" s="6">
        <v>76.3</v>
      </c>
      <c r="P100" s="6" t="s">
        <v>49</v>
      </c>
      <c r="Q100" s="6" t="s">
        <v>769</v>
      </c>
      <c r="R100" s="6" t="s">
        <v>49</v>
      </c>
    </row>
    <row r="101" ht="28.8" spans="1:18">
      <c r="A101" s="6" t="s">
        <v>866</v>
      </c>
      <c r="B101" s="6" t="s">
        <v>270</v>
      </c>
      <c r="C101" s="6" t="s">
        <v>271</v>
      </c>
      <c r="D101" s="6" t="s">
        <v>251</v>
      </c>
      <c r="E101" s="6" t="s">
        <v>592</v>
      </c>
      <c r="F101" s="6" t="s">
        <v>541</v>
      </c>
      <c r="G101" s="6" t="s">
        <v>21</v>
      </c>
      <c r="H101" s="6" t="s">
        <v>49</v>
      </c>
      <c r="I101" s="6" t="s">
        <v>49</v>
      </c>
      <c r="J101" s="6" t="s">
        <v>437</v>
      </c>
      <c r="K101" s="9">
        <v>0.67</v>
      </c>
      <c r="L101" s="9">
        <v>956</v>
      </c>
      <c r="M101" s="14">
        <v>0.05</v>
      </c>
      <c r="N101" s="9">
        <f t="shared" si="1"/>
        <v>672.546</v>
      </c>
      <c r="O101" s="6">
        <v>704.56</v>
      </c>
      <c r="P101" s="6" t="s">
        <v>49</v>
      </c>
      <c r="Q101" s="6" t="s">
        <v>769</v>
      </c>
      <c r="R101" s="6" t="s">
        <v>49</v>
      </c>
    </row>
    <row r="102" ht="28.8" spans="1:18">
      <c r="A102" s="6" t="s">
        <v>867</v>
      </c>
      <c r="B102" s="6" t="s">
        <v>270</v>
      </c>
      <c r="C102" s="6" t="s">
        <v>271</v>
      </c>
      <c r="D102" s="6" t="s">
        <v>251</v>
      </c>
      <c r="E102" s="6" t="s">
        <v>593</v>
      </c>
      <c r="F102" s="6" t="s">
        <v>594</v>
      </c>
      <c r="G102" s="6" t="s">
        <v>20</v>
      </c>
      <c r="H102" s="6" t="s">
        <v>49</v>
      </c>
      <c r="I102" s="6" t="s">
        <v>49</v>
      </c>
      <c r="J102" s="6" t="s">
        <v>437</v>
      </c>
      <c r="K102" s="9">
        <v>0.03</v>
      </c>
      <c r="L102" s="9">
        <v>956</v>
      </c>
      <c r="M102" s="14">
        <v>0.03</v>
      </c>
      <c r="N102" s="9">
        <f t="shared" si="1"/>
        <v>29.5404</v>
      </c>
      <c r="O102" s="6">
        <v>32.99</v>
      </c>
      <c r="P102" s="6" t="s">
        <v>49</v>
      </c>
      <c r="Q102" s="6" t="s">
        <v>769</v>
      </c>
      <c r="R102" s="6" t="s">
        <v>49</v>
      </c>
    </row>
    <row r="103" ht="28.8" spans="1:18">
      <c r="A103" s="6" t="s">
        <v>868</v>
      </c>
      <c r="B103" s="6" t="s">
        <v>273</v>
      </c>
      <c r="C103" s="6" t="s">
        <v>274</v>
      </c>
      <c r="D103" s="6" t="s">
        <v>255</v>
      </c>
      <c r="E103" s="6" t="s">
        <v>595</v>
      </c>
      <c r="F103" s="6" t="s">
        <v>541</v>
      </c>
      <c r="G103" s="6" t="s">
        <v>21</v>
      </c>
      <c r="H103" s="6" t="s">
        <v>49</v>
      </c>
      <c r="I103" s="6" t="s">
        <v>49</v>
      </c>
      <c r="J103" s="6" t="s">
        <v>437</v>
      </c>
      <c r="K103" s="9">
        <v>0.55</v>
      </c>
      <c r="L103" s="9">
        <v>134</v>
      </c>
      <c r="M103" s="14">
        <v>0.05</v>
      </c>
      <c r="N103" s="9">
        <f t="shared" si="1"/>
        <v>77.385</v>
      </c>
      <c r="O103" s="6">
        <v>81.08</v>
      </c>
      <c r="P103" s="6" t="s">
        <v>49</v>
      </c>
      <c r="Q103" s="6" t="s">
        <v>769</v>
      </c>
      <c r="R103" s="6" t="s">
        <v>49</v>
      </c>
    </row>
    <row r="104" ht="28.8" spans="1:18">
      <c r="A104" s="6" t="s">
        <v>869</v>
      </c>
      <c r="B104" s="6" t="s">
        <v>273</v>
      </c>
      <c r="C104" s="6" t="s">
        <v>274</v>
      </c>
      <c r="D104" s="6" t="s">
        <v>255</v>
      </c>
      <c r="E104" s="6" t="s">
        <v>596</v>
      </c>
      <c r="F104" s="6" t="s">
        <v>594</v>
      </c>
      <c r="G104" s="6" t="s">
        <v>20</v>
      </c>
      <c r="H104" s="6" t="s">
        <v>49</v>
      </c>
      <c r="I104" s="6" t="s">
        <v>49</v>
      </c>
      <c r="J104" s="6" t="s">
        <v>437</v>
      </c>
      <c r="K104" s="9">
        <v>0.03</v>
      </c>
      <c r="L104" s="9">
        <v>134</v>
      </c>
      <c r="M104" s="14">
        <v>0.03</v>
      </c>
      <c r="N104" s="9">
        <f t="shared" si="1"/>
        <v>4.1406</v>
      </c>
      <c r="O104" s="6">
        <v>4.64</v>
      </c>
      <c r="P104" s="6" t="s">
        <v>49</v>
      </c>
      <c r="Q104" s="6" t="s">
        <v>769</v>
      </c>
      <c r="R104" s="6" t="s">
        <v>49</v>
      </c>
    </row>
    <row r="105" ht="28.8" spans="1:18">
      <c r="A105" s="6" t="s">
        <v>870</v>
      </c>
      <c r="B105" s="6" t="s">
        <v>275</v>
      </c>
      <c r="C105" s="6" t="s">
        <v>276</v>
      </c>
      <c r="D105" s="6" t="s">
        <v>277</v>
      </c>
      <c r="E105" s="6" t="s">
        <v>597</v>
      </c>
      <c r="F105" s="6" t="s">
        <v>541</v>
      </c>
      <c r="G105" s="6" t="s">
        <v>21</v>
      </c>
      <c r="H105" s="6" t="s">
        <v>49</v>
      </c>
      <c r="I105" s="6" t="s">
        <v>49</v>
      </c>
      <c r="J105" s="6" t="s">
        <v>437</v>
      </c>
      <c r="K105" s="9">
        <v>1.06</v>
      </c>
      <c r="L105" s="9">
        <v>338</v>
      </c>
      <c r="M105" s="14">
        <v>0.05</v>
      </c>
      <c r="N105" s="9">
        <f t="shared" si="1"/>
        <v>376.194</v>
      </c>
      <c r="O105" s="6">
        <v>394.13</v>
      </c>
      <c r="P105" s="6" t="s">
        <v>49</v>
      </c>
      <c r="Q105" s="6" t="s">
        <v>769</v>
      </c>
      <c r="R105" s="6" t="s">
        <v>49</v>
      </c>
    </row>
    <row r="106" ht="28.8" spans="1:18">
      <c r="A106" s="6" t="s">
        <v>871</v>
      </c>
      <c r="B106" s="6" t="s">
        <v>275</v>
      </c>
      <c r="C106" s="6" t="s">
        <v>276</v>
      </c>
      <c r="D106" s="6" t="s">
        <v>277</v>
      </c>
      <c r="E106" s="6" t="s">
        <v>598</v>
      </c>
      <c r="F106" s="6" t="s">
        <v>564</v>
      </c>
      <c r="G106" s="6" t="s">
        <v>20</v>
      </c>
      <c r="H106" s="6" t="s">
        <v>49</v>
      </c>
      <c r="I106" s="6" t="s">
        <v>49</v>
      </c>
      <c r="J106" s="6" t="s">
        <v>441</v>
      </c>
      <c r="K106" s="9">
        <v>0.038</v>
      </c>
      <c r="L106" s="9">
        <v>338</v>
      </c>
      <c r="M106" s="14">
        <v>0.03</v>
      </c>
      <c r="N106" s="9">
        <f t="shared" si="1"/>
        <v>13.22932</v>
      </c>
      <c r="O106" s="6">
        <v>14.77</v>
      </c>
      <c r="P106" s="6" t="s">
        <v>49</v>
      </c>
      <c r="Q106" s="6" t="s">
        <v>769</v>
      </c>
      <c r="R106" s="6" t="s">
        <v>49</v>
      </c>
    </row>
    <row r="107" ht="28.8" spans="1:18">
      <c r="A107" s="6" t="s">
        <v>872</v>
      </c>
      <c r="B107" s="6" t="s">
        <v>275</v>
      </c>
      <c r="C107" s="6" t="s">
        <v>276</v>
      </c>
      <c r="D107" s="6" t="s">
        <v>277</v>
      </c>
      <c r="E107" s="6" t="s">
        <v>599</v>
      </c>
      <c r="F107" s="6" t="s">
        <v>545</v>
      </c>
      <c r="G107" s="6" t="s">
        <v>20</v>
      </c>
      <c r="H107" s="6" t="s">
        <v>49</v>
      </c>
      <c r="I107" s="6" t="s">
        <v>49</v>
      </c>
      <c r="J107" s="6" t="s">
        <v>437</v>
      </c>
      <c r="K107" s="9">
        <v>1.06</v>
      </c>
      <c r="L107" s="9">
        <v>338</v>
      </c>
      <c r="M107" s="14">
        <v>0.03</v>
      </c>
      <c r="N107" s="9">
        <f t="shared" si="1"/>
        <v>369.0284</v>
      </c>
      <c r="O107" s="6">
        <v>4.48</v>
      </c>
      <c r="P107" s="6" t="s">
        <v>49</v>
      </c>
      <c r="Q107" s="6" t="s">
        <v>769</v>
      </c>
      <c r="R107" s="6" t="s">
        <v>49</v>
      </c>
    </row>
    <row r="108" ht="28.8" spans="1:18">
      <c r="A108" s="6" t="s">
        <v>873</v>
      </c>
      <c r="B108" s="6" t="s">
        <v>275</v>
      </c>
      <c r="C108" s="6" t="s">
        <v>276</v>
      </c>
      <c r="D108" s="6" t="s">
        <v>277</v>
      </c>
      <c r="E108" s="6" t="s">
        <v>600</v>
      </c>
      <c r="F108" s="6" t="s">
        <v>601</v>
      </c>
      <c r="G108" s="6" t="s">
        <v>21</v>
      </c>
      <c r="H108" s="6" t="s">
        <v>49</v>
      </c>
      <c r="I108" s="6" t="s">
        <v>49</v>
      </c>
      <c r="J108" s="6" t="s">
        <v>437</v>
      </c>
      <c r="K108" s="9">
        <v>1.06</v>
      </c>
      <c r="L108" s="9">
        <v>338</v>
      </c>
      <c r="M108" s="14">
        <v>0.05</v>
      </c>
      <c r="N108" s="9">
        <f t="shared" si="1"/>
        <v>376.194</v>
      </c>
      <c r="O108" s="6">
        <v>716.56</v>
      </c>
      <c r="P108" s="6" t="s">
        <v>49</v>
      </c>
      <c r="Q108" s="6" t="s">
        <v>769</v>
      </c>
      <c r="R108" s="6" t="s">
        <v>49</v>
      </c>
    </row>
    <row r="109" ht="28.8" spans="1:18">
      <c r="A109" s="6" t="s">
        <v>874</v>
      </c>
      <c r="B109" s="6" t="s">
        <v>275</v>
      </c>
      <c r="C109" s="6" t="s">
        <v>276</v>
      </c>
      <c r="D109" s="6" t="s">
        <v>277</v>
      </c>
      <c r="E109" s="6" t="s">
        <v>602</v>
      </c>
      <c r="F109" s="6" t="s">
        <v>603</v>
      </c>
      <c r="G109" s="6" t="s">
        <v>21</v>
      </c>
      <c r="H109" s="6" t="s">
        <v>49</v>
      </c>
      <c r="I109" s="6" t="s">
        <v>49</v>
      </c>
      <c r="J109" s="6" t="s">
        <v>437</v>
      </c>
      <c r="K109" s="9">
        <v>1.06</v>
      </c>
      <c r="L109" s="9">
        <v>338</v>
      </c>
      <c r="M109" s="14">
        <v>0.05</v>
      </c>
      <c r="N109" s="9">
        <f t="shared" si="1"/>
        <v>376.194</v>
      </c>
      <c r="O109" s="6">
        <v>223.08</v>
      </c>
      <c r="P109" s="6" t="s">
        <v>49</v>
      </c>
      <c r="Q109" s="6" t="s">
        <v>769</v>
      </c>
      <c r="R109" s="6" t="s">
        <v>49</v>
      </c>
    </row>
    <row r="110" ht="28.8" spans="1:18">
      <c r="A110" s="6" t="s">
        <v>875</v>
      </c>
      <c r="B110" s="6" t="s">
        <v>279</v>
      </c>
      <c r="C110" s="6" t="s">
        <v>280</v>
      </c>
      <c r="D110" s="6" t="s">
        <v>281</v>
      </c>
      <c r="E110" s="6" t="s">
        <v>604</v>
      </c>
      <c r="F110" s="6" t="s">
        <v>605</v>
      </c>
      <c r="G110" s="6" t="s">
        <v>21</v>
      </c>
      <c r="H110" s="6" t="s">
        <v>49</v>
      </c>
      <c r="I110" s="6" t="s">
        <v>49</v>
      </c>
      <c r="J110" s="6" t="s">
        <v>437</v>
      </c>
      <c r="K110" s="9">
        <v>0.76</v>
      </c>
      <c r="L110" s="9">
        <v>528</v>
      </c>
      <c r="M110" s="14">
        <v>0.05</v>
      </c>
      <c r="N110" s="9">
        <f t="shared" si="1"/>
        <v>421.344</v>
      </c>
      <c r="O110" s="6">
        <v>95.31</v>
      </c>
      <c r="P110" s="6" t="s">
        <v>49</v>
      </c>
      <c r="Q110" s="6" t="s">
        <v>769</v>
      </c>
      <c r="R110" s="6" t="s">
        <v>49</v>
      </c>
    </row>
    <row r="111" ht="28.8" spans="1:18">
      <c r="A111" s="6" t="s">
        <v>876</v>
      </c>
      <c r="B111" s="6" t="s">
        <v>279</v>
      </c>
      <c r="C111" s="6" t="s">
        <v>280</v>
      </c>
      <c r="D111" s="6" t="s">
        <v>281</v>
      </c>
      <c r="E111" s="6" t="s">
        <v>606</v>
      </c>
      <c r="F111" s="6" t="s">
        <v>607</v>
      </c>
      <c r="G111" s="6" t="s">
        <v>21</v>
      </c>
      <c r="H111" s="6" t="s">
        <v>49</v>
      </c>
      <c r="I111" s="6" t="s">
        <v>49</v>
      </c>
      <c r="J111" s="6" t="s">
        <v>437</v>
      </c>
      <c r="K111" s="9">
        <v>0.03</v>
      </c>
      <c r="L111" s="9">
        <v>528</v>
      </c>
      <c r="M111" s="14">
        <v>0.05</v>
      </c>
      <c r="N111" s="9">
        <f t="shared" si="1"/>
        <v>16.632</v>
      </c>
      <c r="O111" s="6">
        <v>193.05</v>
      </c>
      <c r="P111" s="6" t="s">
        <v>49</v>
      </c>
      <c r="Q111" s="6" t="s">
        <v>769</v>
      </c>
      <c r="R111" s="6" t="s">
        <v>49</v>
      </c>
    </row>
    <row r="112" ht="28.8" spans="1:18">
      <c r="A112" s="6" t="s">
        <v>877</v>
      </c>
      <c r="B112" s="6" t="s">
        <v>279</v>
      </c>
      <c r="C112" s="6" t="s">
        <v>280</v>
      </c>
      <c r="D112" s="6" t="s">
        <v>281</v>
      </c>
      <c r="E112" s="6" t="s">
        <v>608</v>
      </c>
      <c r="F112" s="6" t="s">
        <v>605</v>
      </c>
      <c r="G112" s="6" t="s">
        <v>21</v>
      </c>
      <c r="H112" s="6" t="s">
        <v>49</v>
      </c>
      <c r="I112" s="6" t="s">
        <v>49</v>
      </c>
      <c r="J112" s="6" t="s">
        <v>437</v>
      </c>
      <c r="K112" s="9">
        <v>0.76</v>
      </c>
      <c r="L112" s="9">
        <v>528</v>
      </c>
      <c r="M112" s="14">
        <v>0.05</v>
      </c>
      <c r="N112" s="9">
        <f t="shared" si="1"/>
        <v>421.344</v>
      </c>
      <c r="O112" s="6">
        <v>150.48</v>
      </c>
      <c r="P112" s="6" t="s">
        <v>49</v>
      </c>
      <c r="Q112" s="6" t="s">
        <v>769</v>
      </c>
      <c r="R112" s="6" t="s">
        <v>49</v>
      </c>
    </row>
    <row r="113" ht="28.8" spans="1:18">
      <c r="A113" s="6" t="s">
        <v>878</v>
      </c>
      <c r="B113" s="6" t="s">
        <v>279</v>
      </c>
      <c r="C113" s="6" t="s">
        <v>280</v>
      </c>
      <c r="D113" s="6" t="s">
        <v>281</v>
      </c>
      <c r="E113" s="6" t="s">
        <v>609</v>
      </c>
      <c r="F113" s="6" t="s">
        <v>594</v>
      </c>
      <c r="G113" s="6" t="s">
        <v>20</v>
      </c>
      <c r="H113" s="6" t="s">
        <v>49</v>
      </c>
      <c r="I113" s="6" t="s">
        <v>49</v>
      </c>
      <c r="J113" s="6" t="s">
        <v>437</v>
      </c>
      <c r="K113" s="9">
        <v>0.76</v>
      </c>
      <c r="L113" s="9">
        <v>528</v>
      </c>
      <c r="M113" s="14">
        <v>0.03</v>
      </c>
      <c r="N113" s="9">
        <f t="shared" si="1"/>
        <v>413.3184</v>
      </c>
      <c r="O113" s="6">
        <v>18.23</v>
      </c>
      <c r="P113" s="6" t="s">
        <v>49</v>
      </c>
      <c r="Q113" s="6" t="s">
        <v>769</v>
      </c>
      <c r="R113" s="6" t="s">
        <v>49</v>
      </c>
    </row>
    <row r="114" ht="28.8" spans="1:18">
      <c r="A114" s="6" t="s">
        <v>879</v>
      </c>
      <c r="B114" s="6" t="s">
        <v>283</v>
      </c>
      <c r="C114" s="6" t="s">
        <v>284</v>
      </c>
      <c r="D114" s="6" t="s">
        <v>285</v>
      </c>
      <c r="E114" s="6" t="s">
        <v>610</v>
      </c>
      <c r="F114" s="6" t="s">
        <v>605</v>
      </c>
      <c r="G114" s="6" t="s">
        <v>21</v>
      </c>
      <c r="H114" s="6" t="s">
        <v>49</v>
      </c>
      <c r="I114" s="6" t="s">
        <v>49</v>
      </c>
      <c r="J114" s="6" t="s">
        <v>437</v>
      </c>
      <c r="K114" s="9">
        <v>0.65</v>
      </c>
      <c r="L114" s="9">
        <v>84</v>
      </c>
      <c r="M114" s="14">
        <v>0.05</v>
      </c>
      <c r="N114" s="9">
        <f t="shared" si="1"/>
        <v>57.33</v>
      </c>
      <c r="O114" s="6">
        <v>20.02</v>
      </c>
      <c r="P114" s="6" t="s">
        <v>49</v>
      </c>
      <c r="Q114" s="6" t="s">
        <v>769</v>
      </c>
      <c r="R114" s="6" t="s">
        <v>49</v>
      </c>
    </row>
    <row r="115" ht="28.8" spans="1:18">
      <c r="A115" s="6" t="s">
        <v>880</v>
      </c>
      <c r="B115" s="6" t="s">
        <v>283</v>
      </c>
      <c r="C115" s="6" t="s">
        <v>284</v>
      </c>
      <c r="D115" s="6" t="s">
        <v>285</v>
      </c>
      <c r="E115" s="6" t="s">
        <v>611</v>
      </c>
      <c r="F115" s="6" t="s">
        <v>607</v>
      </c>
      <c r="G115" s="6" t="s">
        <v>21</v>
      </c>
      <c r="H115" s="6" t="s">
        <v>49</v>
      </c>
      <c r="I115" s="6" t="s">
        <v>49</v>
      </c>
      <c r="J115" s="6" t="s">
        <v>437</v>
      </c>
      <c r="K115" s="9">
        <v>0.03</v>
      </c>
      <c r="L115" s="9">
        <v>84</v>
      </c>
      <c r="M115" s="14">
        <v>0.05</v>
      </c>
      <c r="N115" s="9">
        <f t="shared" si="1"/>
        <v>2.646</v>
      </c>
      <c r="O115" s="6">
        <v>22.11</v>
      </c>
      <c r="P115" s="6" t="s">
        <v>49</v>
      </c>
      <c r="Q115" s="6" t="s">
        <v>769</v>
      </c>
      <c r="R115" s="6" t="s">
        <v>49</v>
      </c>
    </row>
    <row r="116" ht="28.8" spans="1:18">
      <c r="A116" s="6" t="s">
        <v>881</v>
      </c>
      <c r="B116" s="6" t="s">
        <v>283</v>
      </c>
      <c r="C116" s="6" t="s">
        <v>284</v>
      </c>
      <c r="D116" s="6" t="s">
        <v>285</v>
      </c>
      <c r="E116" s="6" t="s">
        <v>612</v>
      </c>
      <c r="F116" s="6" t="s">
        <v>605</v>
      </c>
      <c r="G116" s="6" t="s">
        <v>21</v>
      </c>
      <c r="H116" s="6" t="s">
        <v>49</v>
      </c>
      <c r="I116" s="6" t="s">
        <v>49</v>
      </c>
      <c r="J116" s="6" t="s">
        <v>437</v>
      </c>
      <c r="K116" s="9">
        <v>0.65</v>
      </c>
      <c r="L116" s="9">
        <v>84</v>
      </c>
      <c r="M116" s="14">
        <v>0.05</v>
      </c>
      <c r="N116" s="9">
        <f t="shared" si="1"/>
        <v>57.33</v>
      </c>
      <c r="O116" s="6">
        <v>18.59</v>
      </c>
      <c r="P116" s="6" t="s">
        <v>49</v>
      </c>
      <c r="Q116" s="6" t="s">
        <v>769</v>
      </c>
      <c r="R116" s="6" t="s">
        <v>49</v>
      </c>
    </row>
    <row r="117" ht="28.8" spans="1:18">
      <c r="A117" s="6" t="s">
        <v>882</v>
      </c>
      <c r="B117" s="6" t="s">
        <v>283</v>
      </c>
      <c r="C117" s="6" t="s">
        <v>284</v>
      </c>
      <c r="D117" s="6" t="s">
        <v>285</v>
      </c>
      <c r="E117" s="6" t="s">
        <v>613</v>
      </c>
      <c r="F117" s="6" t="s">
        <v>594</v>
      </c>
      <c r="G117" s="6" t="s">
        <v>20</v>
      </c>
      <c r="H117" s="6" t="s">
        <v>49</v>
      </c>
      <c r="I117" s="6" t="s">
        <v>49</v>
      </c>
      <c r="J117" s="6" t="s">
        <v>437</v>
      </c>
      <c r="K117" s="9">
        <v>0.65</v>
      </c>
      <c r="L117" s="9">
        <v>84</v>
      </c>
      <c r="M117" s="14">
        <v>0.03</v>
      </c>
      <c r="N117" s="9">
        <f t="shared" si="1"/>
        <v>56.238</v>
      </c>
      <c r="O117" s="6">
        <v>2.91</v>
      </c>
      <c r="P117" s="6" t="s">
        <v>49</v>
      </c>
      <c r="Q117" s="6" t="s">
        <v>769</v>
      </c>
      <c r="R117" s="6" t="s">
        <v>49</v>
      </c>
    </row>
    <row r="118" ht="28.8" spans="1:18">
      <c r="A118" s="6" t="s">
        <v>883</v>
      </c>
      <c r="B118" s="6" t="s">
        <v>286</v>
      </c>
      <c r="C118" s="6" t="s">
        <v>287</v>
      </c>
      <c r="D118" s="6" t="s">
        <v>288</v>
      </c>
      <c r="E118" s="6" t="s">
        <v>614</v>
      </c>
      <c r="F118" s="6" t="s">
        <v>605</v>
      </c>
      <c r="G118" s="6" t="s">
        <v>21</v>
      </c>
      <c r="H118" s="6" t="s">
        <v>49</v>
      </c>
      <c r="I118" s="6" t="s">
        <v>49</v>
      </c>
      <c r="J118" s="6" t="s">
        <v>437</v>
      </c>
      <c r="K118" s="9">
        <v>1.3</v>
      </c>
      <c r="L118" s="9">
        <v>165</v>
      </c>
      <c r="M118" s="14">
        <v>0.05</v>
      </c>
      <c r="N118" s="9">
        <f t="shared" si="1"/>
        <v>225.225</v>
      </c>
      <c r="O118" s="6">
        <v>50.05</v>
      </c>
      <c r="P118" s="6" t="s">
        <v>49</v>
      </c>
      <c r="Q118" s="6" t="s">
        <v>769</v>
      </c>
      <c r="R118" s="6" t="s">
        <v>49</v>
      </c>
    </row>
    <row r="119" ht="28.8" spans="1:18">
      <c r="A119" s="6" t="s">
        <v>884</v>
      </c>
      <c r="B119" s="6" t="s">
        <v>286</v>
      </c>
      <c r="C119" s="6" t="s">
        <v>287</v>
      </c>
      <c r="D119" s="6" t="s">
        <v>288</v>
      </c>
      <c r="E119" s="6" t="s">
        <v>615</v>
      </c>
      <c r="F119" s="6" t="s">
        <v>607</v>
      </c>
      <c r="G119" s="6" t="s">
        <v>21</v>
      </c>
      <c r="H119" s="6" t="s">
        <v>49</v>
      </c>
      <c r="I119" s="6" t="s">
        <v>49</v>
      </c>
      <c r="J119" s="6" t="s">
        <v>437</v>
      </c>
      <c r="K119" s="9">
        <v>0.02</v>
      </c>
      <c r="L119" s="9">
        <v>165</v>
      </c>
      <c r="M119" s="14">
        <v>0.05</v>
      </c>
      <c r="N119" s="9">
        <f t="shared" si="1"/>
        <v>3.465</v>
      </c>
      <c r="O119" s="6">
        <v>116.33</v>
      </c>
      <c r="P119" s="6" t="s">
        <v>49</v>
      </c>
      <c r="Q119" s="6" t="s">
        <v>769</v>
      </c>
      <c r="R119" s="6" t="s">
        <v>49</v>
      </c>
    </row>
    <row r="120" ht="28.8" spans="1:18">
      <c r="A120" s="6" t="s">
        <v>885</v>
      </c>
      <c r="B120" s="6" t="s">
        <v>286</v>
      </c>
      <c r="C120" s="6" t="s">
        <v>287</v>
      </c>
      <c r="D120" s="6" t="s">
        <v>288</v>
      </c>
      <c r="E120" s="6" t="s">
        <v>616</v>
      </c>
      <c r="F120" s="6" t="s">
        <v>605</v>
      </c>
      <c r="G120" s="6" t="s">
        <v>21</v>
      </c>
      <c r="H120" s="6" t="s">
        <v>49</v>
      </c>
      <c r="I120" s="6" t="s">
        <v>49</v>
      </c>
      <c r="J120" s="6" t="s">
        <v>437</v>
      </c>
      <c r="K120" s="9">
        <v>1.3</v>
      </c>
      <c r="L120" s="9">
        <v>165</v>
      </c>
      <c r="M120" s="14">
        <v>0.05</v>
      </c>
      <c r="N120" s="9">
        <f t="shared" si="1"/>
        <v>225.225</v>
      </c>
      <c r="O120" s="6">
        <v>78.65</v>
      </c>
      <c r="P120" s="6" t="s">
        <v>49</v>
      </c>
      <c r="Q120" s="6" t="s">
        <v>769</v>
      </c>
      <c r="R120" s="6" t="s">
        <v>49</v>
      </c>
    </row>
    <row r="121" ht="28.8" spans="1:18">
      <c r="A121" s="6" t="s">
        <v>886</v>
      </c>
      <c r="B121" s="6" t="s">
        <v>286</v>
      </c>
      <c r="C121" s="6" t="s">
        <v>287</v>
      </c>
      <c r="D121" s="6" t="s">
        <v>288</v>
      </c>
      <c r="E121" s="6" t="s">
        <v>617</v>
      </c>
      <c r="F121" s="6" t="s">
        <v>594</v>
      </c>
      <c r="G121" s="6" t="s">
        <v>20</v>
      </c>
      <c r="H121" s="6" t="s">
        <v>49</v>
      </c>
      <c r="I121" s="6" t="s">
        <v>49</v>
      </c>
      <c r="J121" s="6" t="s">
        <v>437</v>
      </c>
      <c r="K121" s="9">
        <v>1.3</v>
      </c>
      <c r="L121" s="9">
        <v>165</v>
      </c>
      <c r="M121" s="14">
        <v>0.03</v>
      </c>
      <c r="N121" s="9">
        <f t="shared" si="1"/>
        <v>220.935</v>
      </c>
      <c r="O121" s="6">
        <v>3.81</v>
      </c>
      <c r="P121" s="6" t="s">
        <v>49</v>
      </c>
      <c r="Q121" s="6" t="s">
        <v>769</v>
      </c>
      <c r="R121" s="6" t="s">
        <v>49</v>
      </c>
    </row>
    <row r="122" ht="28.8" spans="1:18">
      <c r="A122" s="6" t="s">
        <v>887</v>
      </c>
      <c r="B122" s="6" t="s">
        <v>289</v>
      </c>
      <c r="C122" s="6" t="s">
        <v>290</v>
      </c>
      <c r="D122" s="6" t="s">
        <v>291</v>
      </c>
      <c r="E122" s="6" t="s">
        <v>618</v>
      </c>
      <c r="F122" s="6" t="s">
        <v>619</v>
      </c>
      <c r="G122" s="6" t="s">
        <v>21</v>
      </c>
      <c r="H122" s="6" t="s">
        <v>49</v>
      </c>
      <c r="I122" s="6" t="s">
        <v>49</v>
      </c>
      <c r="J122" s="6" t="s">
        <v>437</v>
      </c>
      <c r="K122" s="9">
        <v>0.72</v>
      </c>
      <c r="L122" s="9">
        <v>616</v>
      </c>
      <c r="M122" s="14">
        <v>0.05</v>
      </c>
      <c r="N122" s="9">
        <f t="shared" si="1"/>
        <v>465.696</v>
      </c>
      <c r="O122" s="6">
        <v>101.38</v>
      </c>
      <c r="P122" s="6" t="s">
        <v>49</v>
      </c>
      <c r="Q122" s="6" t="s">
        <v>769</v>
      </c>
      <c r="R122" s="6" t="s">
        <v>49</v>
      </c>
    </row>
    <row r="123" ht="28.8" spans="1:18">
      <c r="A123" s="6" t="s">
        <v>888</v>
      </c>
      <c r="B123" s="6" t="s">
        <v>289</v>
      </c>
      <c r="C123" s="6" t="s">
        <v>290</v>
      </c>
      <c r="D123" s="6" t="s">
        <v>291</v>
      </c>
      <c r="E123" s="6" t="s">
        <v>620</v>
      </c>
      <c r="F123" s="6" t="s">
        <v>607</v>
      </c>
      <c r="G123" s="6" t="s">
        <v>20</v>
      </c>
      <c r="H123" s="6" t="s">
        <v>49</v>
      </c>
      <c r="I123" s="6" t="s">
        <v>49</v>
      </c>
      <c r="J123" s="6" t="s">
        <v>441</v>
      </c>
      <c r="K123" s="9">
        <v>0.038</v>
      </c>
      <c r="L123" s="9">
        <v>616</v>
      </c>
      <c r="M123" s="14">
        <v>0.03</v>
      </c>
      <c r="N123" s="9">
        <f t="shared" si="1"/>
        <v>24.11024</v>
      </c>
      <c r="O123" s="6">
        <v>181.37</v>
      </c>
      <c r="P123" s="6" t="s">
        <v>49</v>
      </c>
      <c r="Q123" s="6" t="s">
        <v>769</v>
      </c>
      <c r="R123" s="6" t="s">
        <v>49</v>
      </c>
    </row>
    <row r="124" ht="28.8" spans="1:18">
      <c r="A124" s="6" t="s">
        <v>889</v>
      </c>
      <c r="B124" s="6" t="s">
        <v>289</v>
      </c>
      <c r="C124" s="6" t="s">
        <v>290</v>
      </c>
      <c r="D124" s="6" t="s">
        <v>291</v>
      </c>
      <c r="E124" s="6" t="s">
        <v>621</v>
      </c>
      <c r="F124" s="6" t="s">
        <v>622</v>
      </c>
      <c r="G124" s="6" t="s">
        <v>21</v>
      </c>
      <c r="H124" s="6" t="s">
        <v>49</v>
      </c>
      <c r="I124" s="6" t="s">
        <v>49</v>
      </c>
      <c r="J124" s="6" t="s">
        <v>437</v>
      </c>
      <c r="K124" s="9">
        <v>0.72</v>
      </c>
      <c r="L124" s="9">
        <v>616</v>
      </c>
      <c r="M124" s="14">
        <v>0.05</v>
      </c>
      <c r="N124" s="9">
        <f t="shared" si="1"/>
        <v>465.696</v>
      </c>
      <c r="O124" s="6">
        <v>215.1</v>
      </c>
      <c r="P124" s="6" t="s">
        <v>49</v>
      </c>
      <c r="Q124" s="6" t="s">
        <v>769</v>
      </c>
      <c r="R124" s="6" t="s">
        <v>49</v>
      </c>
    </row>
    <row r="125" ht="28.8" spans="1:18">
      <c r="A125" s="6" t="s">
        <v>890</v>
      </c>
      <c r="B125" s="6" t="s">
        <v>289</v>
      </c>
      <c r="C125" s="6" t="s">
        <v>290</v>
      </c>
      <c r="D125" s="6" t="s">
        <v>291</v>
      </c>
      <c r="E125" s="6" t="s">
        <v>623</v>
      </c>
      <c r="F125" s="6" t="s">
        <v>564</v>
      </c>
      <c r="G125" s="6" t="s">
        <v>20</v>
      </c>
      <c r="H125" s="6" t="s">
        <v>49</v>
      </c>
      <c r="I125" s="6" t="s">
        <v>49</v>
      </c>
      <c r="J125" s="6" t="s">
        <v>437</v>
      </c>
      <c r="K125" s="9">
        <v>0.72</v>
      </c>
      <c r="L125" s="9">
        <v>616</v>
      </c>
      <c r="M125" s="14">
        <v>0.03</v>
      </c>
      <c r="N125" s="9">
        <f t="shared" si="1"/>
        <v>456.8256</v>
      </c>
      <c r="O125" s="6">
        <v>26.93</v>
      </c>
      <c r="P125" s="6" t="s">
        <v>49</v>
      </c>
      <c r="Q125" s="6" t="s">
        <v>769</v>
      </c>
      <c r="R125" s="6" t="s">
        <v>49</v>
      </c>
    </row>
    <row r="126" ht="28.8" spans="1:18">
      <c r="A126" s="6" t="s">
        <v>891</v>
      </c>
      <c r="B126" s="6" t="s">
        <v>289</v>
      </c>
      <c r="C126" s="6" t="s">
        <v>290</v>
      </c>
      <c r="D126" s="6" t="s">
        <v>291</v>
      </c>
      <c r="E126" s="6" t="s">
        <v>624</v>
      </c>
      <c r="F126" s="6" t="s">
        <v>545</v>
      </c>
      <c r="G126" s="6" t="s">
        <v>20</v>
      </c>
      <c r="H126" s="6" t="s">
        <v>49</v>
      </c>
      <c r="I126" s="6" t="s">
        <v>49</v>
      </c>
      <c r="J126" s="6" t="s">
        <v>437</v>
      </c>
      <c r="K126" s="9">
        <v>0.72</v>
      </c>
      <c r="L126" s="9">
        <v>616</v>
      </c>
      <c r="M126" s="14">
        <v>0.03</v>
      </c>
      <c r="N126" s="9">
        <f t="shared" si="1"/>
        <v>456.8256</v>
      </c>
      <c r="O126" s="6">
        <v>8.14</v>
      </c>
      <c r="P126" s="6" t="s">
        <v>49</v>
      </c>
      <c r="Q126" s="6" t="s">
        <v>769</v>
      </c>
      <c r="R126" s="6" t="s">
        <v>49</v>
      </c>
    </row>
    <row r="127" ht="28.8" spans="1:18">
      <c r="A127" s="6" t="s">
        <v>892</v>
      </c>
      <c r="B127" s="6" t="s">
        <v>289</v>
      </c>
      <c r="C127" s="6" t="s">
        <v>290</v>
      </c>
      <c r="D127" s="6" t="s">
        <v>291</v>
      </c>
      <c r="E127" s="6" t="s">
        <v>625</v>
      </c>
      <c r="F127" s="6" t="s">
        <v>626</v>
      </c>
      <c r="G127" s="6" t="s">
        <v>21</v>
      </c>
      <c r="H127" s="6" t="s">
        <v>49</v>
      </c>
      <c r="I127" s="6" t="s">
        <v>49</v>
      </c>
      <c r="J127" s="6" t="s">
        <v>437</v>
      </c>
      <c r="K127" s="9">
        <v>0.72</v>
      </c>
      <c r="L127" s="9">
        <v>616</v>
      </c>
      <c r="M127" s="14">
        <v>0.05</v>
      </c>
      <c r="N127" s="9">
        <f t="shared" si="1"/>
        <v>465.696</v>
      </c>
      <c r="O127" s="6" t="s">
        <v>49</v>
      </c>
      <c r="P127" s="6" t="s">
        <v>49</v>
      </c>
      <c r="Q127" s="6" t="s">
        <v>769</v>
      </c>
      <c r="R127" s="6" t="s">
        <v>49</v>
      </c>
    </row>
    <row r="128" ht="28.8" spans="1:18">
      <c r="A128" s="6" t="s">
        <v>893</v>
      </c>
      <c r="B128" s="6" t="s">
        <v>289</v>
      </c>
      <c r="C128" s="6" t="s">
        <v>290</v>
      </c>
      <c r="D128" s="6" t="s">
        <v>291</v>
      </c>
      <c r="E128" s="6" t="s">
        <v>627</v>
      </c>
      <c r="F128" s="6" t="s">
        <v>628</v>
      </c>
      <c r="G128" s="6" t="s">
        <v>21</v>
      </c>
      <c r="H128" s="6" t="s">
        <v>49</v>
      </c>
      <c r="I128" s="6" t="s">
        <v>49</v>
      </c>
      <c r="J128" s="6" t="s">
        <v>437</v>
      </c>
      <c r="K128" s="9">
        <v>0.72</v>
      </c>
      <c r="L128" s="9">
        <v>616</v>
      </c>
      <c r="M128" s="14">
        <v>0.05</v>
      </c>
      <c r="N128" s="9">
        <f t="shared" si="1"/>
        <v>465.696</v>
      </c>
      <c r="O128" s="6" t="s">
        <v>49</v>
      </c>
      <c r="P128" s="6" t="s">
        <v>49</v>
      </c>
      <c r="Q128" s="6" t="s">
        <v>769</v>
      </c>
      <c r="R128" s="6" t="s">
        <v>49</v>
      </c>
    </row>
    <row r="129" ht="28.8" spans="1:18">
      <c r="A129" s="6" t="s">
        <v>894</v>
      </c>
      <c r="B129" s="6" t="s">
        <v>293</v>
      </c>
      <c r="C129" s="6" t="s">
        <v>294</v>
      </c>
      <c r="D129" s="6" t="s">
        <v>295</v>
      </c>
      <c r="E129" s="6" t="s">
        <v>629</v>
      </c>
      <c r="F129" s="6" t="s">
        <v>605</v>
      </c>
      <c r="G129" s="6" t="s">
        <v>21</v>
      </c>
      <c r="H129" s="6" t="s">
        <v>49</v>
      </c>
      <c r="I129" s="6" t="s">
        <v>49</v>
      </c>
      <c r="J129" s="6" t="s">
        <v>437</v>
      </c>
      <c r="K129" s="9">
        <v>0.66</v>
      </c>
      <c r="L129" s="9">
        <v>102</v>
      </c>
      <c r="M129" s="14">
        <v>0.05</v>
      </c>
      <c r="N129" s="9">
        <f t="shared" si="1"/>
        <v>70.686</v>
      </c>
      <c r="O129" s="6">
        <v>16.7</v>
      </c>
      <c r="P129" s="6" t="s">
        <v>49</v>
      </c>
      <c r="Q129" s="6" t="s">
        <v>769</v>
      </c>
      <c r="R129" s="6" t="s">
        <v>49</v>
      </c>
    </row>
    <row r="130" ht="28.8" spans="1:18">
      <c r="A130" s="6" t="s">
        <v>895</v>
      </c>
      <c r="B130" s="6" t="s">
        <v>293</v>
      </c>
      <c r="C130" s="6" t="s">
        <v>294</v>
      </c>
      <c r="D130" s="6" t="s">
        <v>295</v>
      </c>
      <c r="E130" s="6" t="s">
        <v>630</v>
      </c>
      <c r="F130" s="6" t="s">
        <v>607</v>
      </c>
      <c r="G130" s="6" t="s">
        <v>20</v>
      </c>
      <c r="H130" s="6" t="s">
        <v>49</v>
      </c>
      <c r="I130" s="6" t="s">
        <v>49</v>
      </c>
      <c r="J130" s="6" t="s">
        <v>441</v>
      </c>
      <c r="K130" s="9">
        <v>0.034</v>
      </c>
      <c r="L130" s="9">
        <v>102</v>
      </c>
      <c r="M130" s="14">
        <v>0.03</v>
      </c>
      <c r="N130" s="9">
        <f t="shared" si="1"/>
        <v>3.57204</v>
      </c>
      <c r="O130" s="6">
        <v>33.88</v>
      </c>
      <c r="P130" s="6" t="s">
        <v>49</v>
      </c>
      <c r="Q130" s="6" t="s">
        <v>769</v>
      </c>
      <c r="R130" s="6" t="s">
        <v>49</v>
      </c>
    </row>
    <row r="131" ht="28.8" spans="1:18">
      <c r="A131" s="6" t="s">
        <v>896</v>
      </c>
      <c r="B131" s="6" t="s">
        <v>293</v>
      </c>
      <c r="C131" s="6" t="s">
        <v>294</v>
      </c>
      <c r="D131" s="6" t="s">
        <v>295</v>
      </c>
      <c r="E131" s="6" t="s">
        <v>631</v>
      </c>
      <c r="F131" s="6" t="s">
        <v>632</v>
      </c>
      <c r="G131" s="6" t="s">
        <v>21</v>
      </c>
      <c r="H131" s="6" t="s">
        <v>49</v>
      </c>
      <c r="I131" s="6" t="s">
        <v>49</v>
      </c>
      <c r="J131" s="6" t="s">
        <v>437</v>
      </c>
      <c r="K131" s="9">
        <v>0.01</v>
      </c>
      <c r="L131" s="9">
        <v>102</v>
      </c>
      <c r="M131" s="14">
        <v>0.05</v>
      </c>
      <c r="N131" s="9">
        <f t="shared" si="1"/>
        <v>1.071</v>
      </c>
      <c r="O131" s="6">
        <v>26.95</v>
      </c>
      <c r="P131" s="6" t="s">
        <v>49</v>
      </c>
      <c r="Q131" s="6" t="s">
        <v>769</v>
      </c>
      <c r="R131" s="6" t="s">
        <v>49</v>
      </c>
    </row>
    <row r="132" ht="28.8" spans="1:18">
      <c r="A132" s="6" t="s">
        <v>897</v>
      </c>
      <c r="B132" s="6" t="s">
        <v>293</v>
      </c>
      <c r="C132" s="6" t="s">
        <v>294</v>
      </c>
      <c r="D132" s="6" t="s">
        <v>295</v>
      </c>
      <c r="E132" s="6" t="s">
        <v>633</v>
      </c>
      <c r="F132" s="6" t="s">
        <v>564</v>
      </c>
      <c r="G132" s="6" t="s">
        <v>20</v>
      </c>
      <c r="H132" s="6" t="s">
        <v>49</v>
      </c>
      <c r="I132" s="6" t="s">
        <v>49</v>
      </c>
      <c r="J132" s="6" t="s">
        <v>437</v>
      </c>
      <c r="K132" s="9">
        <v>0.66</v>
      </c>
      <c r="L132" s="9">
        <v>102</v>
      </c>
      <c r="M132" s="14">
        <v>0.03</v>
      </c>
      <c r="N132" s="9">
        <f t="shared" si="1"/>
        <v>69.3396</v>
      </c>
      <c r="O132" s="6">
        <v>4</v>
      </c>
      <c r="P132" s="6" t="s">
        <v>49</v>
      </c>
      <c r="Q132" s="6" t="s">
        <v>769</v>
      </c>
      <c r="R132" s="6" t="s">
        <v>49</v>
      </c>
    </row>
    <row r="133" ht="28.8" spans="1:18">
      <c r="A133" s="6" t="s">
        <v>898</v>
      </c>
      <c r="B133" s="6" t="s">
        <v>293</v>
      </c>
      <c r="C133" s="6" t="s">
        <v>294</v>
      </c>
      <c r="D133" s="6" t="s">
        <v>295</v>
      </c>
      <c r="E133" s="6" t="s">
        <v>634</v>
      </c>
      <c r="F133" s="6" t="s">
        <v>545</v>
      </c>
      <c r="G133" s="6" t="s">
        <v>20</v>
      </c>
      <c r="H133" s="6" t="s">
        <v>49</v>
      </c>
      <c r="I133" s="6" t="s">
        <v>49</v>
      </c>
      <c r="J133" s="6" t="s">
        <v>437</v>
      </c>
      <c r="K133" s="9">
        <v>0.66</v>
      </c>
      <c r="L133" s="9">
        <v>102</v>
      </c>
      <c r="M133" s="14">
        <v>0.03</v>
      </c>
      <c r="N133" s="9">
        <f t="shared" ref="N133:N196" si="2">IF(OR(K133="",L133=""),"",K133*L133*(1+M133))</f>
        <v>69.3396</v>
      </c>
      <c r="O133" s="6">
        <v>1.14</v>
      </c>
      <c r="P133" s="6" t="s">
        <v>49</v>
      </c>
      <c r="Q133" s="6" t="s">
        <v>769</v>
      </c>
      <c r="R133" s="6" t="s">
        <v>49</v>
      </c>
    </row>
    <row r="134" ht="28.8" spans="1:18">
      <c r="A134" s="6" t="s">
        <v>899</v>
      </c>
      <c r="B134" s="6" t="s">
        <v>293</v>
      </c>
      <c r="C134" s="6" t="s">
        <v>294</v>
      </c>
      <c r="D134" s="6" t="s">
        <v>295</v>
      </c>
      <c r="E134" s="6" t="s">
        <v>635</v>
      </c>
      <c r="F134" s="6" t="s">
        <v>636</v>
      </c>
      <c r="G134" s="6" t="s">
        <v>21</v>
      </c>
      <c r="H134" s="6" t="s">
        <v>49</v>
      </c>
      <c r="I134" s="6" t="s">
        <v>49</v>
      </c>
      <c r="J134" s="6" t="s">
        <v>437</v>
      </c>
      <c r="K134" s="9">
        <v>0.66</v>
      </c>
      <c r="L134" s="9">
        <v>102</v>
      </c>
      <c r="M134" s="14">
        <v>0.05</v>
      </c>
      <c r="N134" s="9">
        <f t="shared" si="2"/>
        <v>70.686</v>
      </c>
      <c r="O134" s="6">
        <v>216.24</v>
      </c>
      <c r="P134" s="6" t="s">
        <v>49</v>
      </c>
      <c r="Q134" s="6" t="s">
        <v>769</v>
      </c>
      <c r="R134" s="6" t="s">
        <v>49</v>
      </c>
    </row>
    <row r="135" ht="28.8" spans="1:18">
      <c r="A135" s="6" t="s">
        <v>900</v>
      </c>
      <c r="B135" s="6" t="s">
        <v>293</v>
      </c>
      <c r="C135" s="6" t="s">
        <v>294</v>
      </c>
      <c r="D135" s="6" t="s">
        <v>295</v>
      </c>
      <c r="E135" s="6" t="s">
        <v>637</v>
      </c>
      <c r="F135" s="6" t="s">
        <v>638</v>
      </c>
      <c r="G135" s="6" t="s">
        <v>21</v>
      </c>
      <c r="H135" s="6" t="s">
        <v>49</v>
      </c>
      <c r="I135" s="6" t="s">
        <v>49</v>
      </c>
      <c r="J135" s="6" t="s">
        <v>437</v>
      </c>
      <c r="K135" s="9">
        <v>0.66</v>
      </c>
      <c r="L135" s="9">
        <v>102</v>
      </c>
      <c r="M135" s="14">
        <v>0.05</v>
      </c>
      <c r="N135" s="9">
        <f t="shared" si="2"/>
        <v>70.686</v>
      </c>
      <c r="O135" s="6">
        <v>106.6</v>
      </c>
      <c r="P135" s="6" t="s">
        <v>49</v>
      </c>
      <c r="Q135" s="6" t="s">
        <v>769</v>
      </c>
      <c r="R135" s="6" t="s">
        <v>49</v>
      </c>
    </row>
    <row r="136" ht="28.8" spans="1:18">
      <c r="A136" s="6" t="s">
        <v>901</v>
      </c>
      <c r="B136" s="6" t="s">
        <v>297</v>
      </c>
      <c r="C136" s="6" t="s">
        <v>298</v>
      </c>
      <c r="D136" s="6" t="s">
        <v>299</v>
      </c>
      <c r="E136" s="6" t="s">
        <v>639</v>
      </c>
      <c r="F136" s="6" t="s">
        <v>605</v>
      </c>
      <c r="G136" s="6" t="s">
        <v>21</v>
      </c>
      <c r="H136" s="6" t="s">
        <v>49</v>
      </c>
      <c r="I136" s="6" t="s">
        <v>49</v>
      </c>
      <c r="J136" s="6" t="s">
        <v>437</v>
      </c>
      <c r="K136" s="9">
        <v>0.68</v>
      </c>
      <c r="L136" s="9">
        <v>207</v>
      </c>
      <c r="M136" s="14">
        <v>0.05</v>
      </c>
      <c r="N136" s="9">
        <f t="shared" si="2"/>
        <v>147.798</v>
      </c>
      <c r="O136" s="6">
        <v>29.92</v>
      </c>
      <c r="P136" s="6" t="s">
        <v>49</v>
      </c>
      <c r="Q136" s="6" t="s">
        <v>769</v>
      </c>
      <c r="R136" s="6" t="s">
        <v>49</v>
      </c>
    </row>
    <row r="137" ht="28.8" spans="1:18">
      <c r="A137" s="6" t="s">
        <v>902</v>
      </c>
      <c r="B137" s="6" t="s">
        <v>297</v>
      </c>
      <c r="C137" s="6" t="s">
        <v>298</v>
      </c>
      <c r="D137" s="6" t="s">
        <v>299</v>
      </c>
      <c r="E137" s="6" t="s">
        <v>640</v>
      </c>
      <c r="F137" s="6" t="s">
        <v>607</v>
      </c>
      <c r="G137" s="6" t="s">
        <v>20</v>
      </c>
      <c r="H137" s="6" t="s">
        <v>49</v>
      </c>
      <c r="I137" s="6" t="s">
        <v>49</v>
      </c>
      <c r="J137" s="6" t="s">
        <v>441</v>
      </c>
      <c r="K137" s="9">
        <v>0.06</v>
      </c>
      <c r="L137" s="9">
        <v>207</v>
      </c>
      <c r="M137" s="14">
        <v>0.03</v>
      </c>
      <c r="N137" s="9">
        <f t="shared" si="2"/>
        <v>12.7926</v>
      </c>
      <c r="O137" s="6">
        <v>60.14</v>
      </c>
      <c r="P137" s="6" t="s">
        <v>49</v>
      </c>
      <c r="Q137" s="6" t="s">
        <v>769</v>
      </c>
      <c r="R137" s="6" t="s">
        <v>49</v>
      </c>
    </row>
    <row r="138" ht="28.8" spans="1:18">
      <c r="A138" s="6" t="s">
        <v>903</v>
      </c>
      <c r="B138" s="6" t="s">
        <v>297</v>
      </c>
      <c r="C138" s="6" t="s">
        <v>298</v>
      </c>
      <c r="D138" s="6" t="s">
        <v>299</v>
      </c>
      <c r="E138" s="6" t="s">
        <v>641</v>
      </c>
      <c r="F138" s="6" t="s">
        <v>605</v>
      </c>
      <c r="G138" s="6" t="s">
        <v>21</v>
      </c>
      <c r="H138" s="6" t="s">
        <v>49</v>
      </c>
      <c r="I138" s="6" t="s">
        <v>49</v>
      </c>
      <c r="J138" s="6" t="s">
        <v>437</v>
      </c>
      <c r="K138" s="9">
        <v>0.014</v>
      </c>
      <c r="L138" s="9">
        <v>207</v>
      </c>
      <c r="M138" s="14">
        <v>0.05</v>
      </c>
      <c r="N138" s="9">
        <f t="shared" si="2"/>
        <v>3.0429</v>
      </c>
      <c r="O138" s="6">
        <v>69.3</v>
      </c>
      <c r="P138" s="6" t="s">
        <v>49</v>
      </c>
      <c r="Q138" s="6" t="s">
        <v>769</v>
      </c>
      <c r="R138" s="6" t="s">
        <v>49</v>
      </c>
    </row>
    <row r="139" ht="28.8" spans="1:18">
      <c r="A139" s="6" t="s">
        <v>904</v>
      </c>
      <c r="B139" s="6" t="s">
        <v>297</v>
      </c>
      <c r="C139" s="6" t="s">
        <v>298</v>
      </c>
      <c r="D139" s="6" t="s">
        <v>299</v>
      </c>
      <c r="E139" s="6" t="s">
        <v>642</v>
      </c>
      <c r="F139" s="6" t="s">
        <v>564</v>
      </c>
      <c r="G139" s="6" t="s">
        <v>20</v>
      </c>
      <c r="H139" s="6" t="s">
        <v>49</v>
      </c>
      <c r="I139" s="6" t="s">
        <v>49</v>
      </c>
      <c r="J139" s="6" t="s">
        <v>437</v>
      </c>
      <c r="K139" s="9">
        <v>0.68</v>
      </c>
      <c r="L139" s="9">
        <v>207</v>
      </c>
      <c r="M139" s="14">
        <v>0.03</v>
      </c>
      <c r="N139" s="9">
        <f t="shared" si="2"/>
        <v>144.9828</v>
      </c>
      <c r="O139" s="6">
        <v>3.34</v>
      </c>
      <c r="P139" s="6" t="s">
        <v>49</v>
      </c>
      <c r="Q139" s="6" t="s">
        <v>769</v>
      </c>
      <c r="R139" s="6" t="s">
        <v>49</v>
      </c>
    </row>
    <row r="140" ht="28.8" spans="1:18">
      <c r="A140" s="6" t="s">
        <v>905</v>
      </c>
      <c r="B140" s="6" t="s">
        <v>297</v>
      </c>
      <c r="C140" s="6" t="s">
        <v>298</v>
      </c>
      <c r="D140" s="6" t="s">
        <v>299</v>
      </c>
      <c r="E140" s="6" t="s">
        <v>643</v>
      </c>
      <c r="F140" s="6" t="s">
        <v>545</v>
      </c>
      <c r="G140" s="6" t="s">
        <v>20</v>
      </c>
      <c r="H140" s="6" t="s">
        <v>49</v>
      </c>
      <c r="I140" s="6" t="s">
        <v>49</v>
      </c>
      <c r="J140" s="6" t="s">
        <v>437</v>
      </c>
      <c r="K140" s="9">
        <v>0.68</v>
      </c>
      <c r="L140" s="9">
        <v>207</v>
      </c>
      <c r="M140" s="14">
        <v>0.03</v>
      </c>
      <c r="N140" s="9">
        <f t="shared" si="2"/>
        <v>144.9828</v>
      </c>
      <c r="O140" s="6">
        <v>1.38</v>
      </c>
      <c r="P140" s="6" t="s">
        <v>49</v>
      </c>
      <c r="Q140" s="6" t="s">
        <v>769</v>
      </c>
      <c r="R140" s="6" t="s">
        <v>49</v>
      </c>
    </row>
    <row r="141" ht="28.8" spans="1:18">
      <c r="A141" s="6" t="s">
        <v>906</v>
      </c>
      <c r="B141" s="6" t="s">
        <v>297</v>
      </c>
      <c r="C141" s="6" t="s">
        <v>298</v>
      </c>
      <c r="D141" s="6" t="s">
        <v>299</v>
      </c>
      <c r="E141" s="6" t="s">
        <v>644</v>
      </c>
      <c r="F141" s="6" t="s">
        <v>645</v>
      </c>
      <c r="G141" s="6" t="s">
        <v>21</v>
      </c>
      <c r="H141" s="6" t="s">
        <v>49</v>
      </c>
      <c r="I141" s="6" t="s">
        <v>49</v>
      </c>
      <c r="J141" s="6" t="s">
        <v>437</v>
      </c>
      <c r="K141" s="9">
        <v>0.68</v>
      </c>
      <c r="L141" s="9">
        <v>207</v>
      </c>
      <c r="M141" s="14">
        <v>0.05</v>
      </c>
      <c r="N141" s="9">
        <f t="shared" si="2"/>
        <v>147.798</v>
      </c>
      <c r="O141" s="6">
        <v>438.84</v>
      </c>
      <c r="P141" s="6" t="s">
        <v>49</v>
      </c>
      <c r="Q141" s="6" t="s">
        <v>769</v>
      </c>
      <c r="R141" s="6" t="s">
        <v>49</v>
      </c>
    </row>
    <row r="142" ht="28.8" spans="1:18">
      <c r="A142" s="6" t="s">
        <v>907</v>
      </c>
      <c r="B142" s="6" t="s">
        <v>297</v>
      </c>
      <c r="C142" s="6" t="s">
        <v>298</v>
      </c>
      <c r="D142" s="6" t="s">
        <v>299</v>
      </c>
      <c r="E142" s="6" t="s">
        <v>646</v>
      </c>
      <c r="F142" s="6" t="s">
        <v>647</v>
      </c>
      <c r="G142" s="6" t="s">
        <v>21</v>
      </c>
      <c r="H142" s="6" t="s">
        <v>49</v>
      </c>
      <c r="I142" s="6" t="s">
        <v>49</v>
      </c>
      <c r="J142" s="6" t="s">
        <v>437</v>
      </c>
      <c r="K142" s="9">
        <v>0.68</v>
      </c>
      <c r="L142" s="9">
        <v>207</v>
      </c>
      <c r="M142" s="14">
        <v>0.05</v>
      </c>
      <c r="N142" s="9">
        <f t="shared" si="2"/>
        <v>147.798</v>
      </c>
      <c r="O142" s="6">
        <v>216.32</v>
      </c>
      <c r="P142" s="6" t="s">
        <v>49</v>
      </c>
      <c r="Q142" s="6" t="s">
        <v>769</v>
      </c>
      <c r="R142" s="6" t="s">
        <v>49</v>
      </c>
    </row>
    <row r="143" ht="28.8" spans="1:18">
      <c r="A143" s="6" t="s">
        <v>908</v>
      </c>
      <c r="B143" s="6" t="s">
        <v>301</v>
      </c>
      <c r="C143" s="6" t="s">
        <v>302</v>
      </c>
      <c r="D143" s="6" t="s">
        <v>303</v>
      </c>
      <c r="E143" s="6" t="s">
        <v>648</v>
      </c>
      <c r="F143" s="6" t="s">
        <v>605</v>
      </c>
      <c r="G143" s="6" t="s">
        <v>21</v>
      </c>
      <c r="H143" s="6" t="s">
        <v>49</v>
      </c>
      <c r="I143" s="6" t="s">
        <v>49</v>
      </c>
      <c r="J143" s="6" t="s">
        <v>437</v>
      </c>
      <c r="K143" s="9">
        <v>0.51</v>
      </c>
      <c r="L143" s="9">
        <v>37</v>
      </c>
      <c r="M143" s="14">
        <v>0.05</v>
      </c>
      <c r="N143" s="9">
        <f t="shared" si="2"/>
        <v>19.8135</v>
      </c>
      <c r="O143" s="6">
        <v>6.18</v>
      </c>
      <c r="P143" s="6" t="s">
        <v>49</v>
      </c>
      <c r="Q143" s="6" t="s">
        <v>769</v>
      </c>
      <c r="R143" s="6" t="s">
        <v>49</v>
      </c>
    </row>
    <row r="144" ht="28.8" spans="1:18">
      <c r="A144" s="6" t="s">
        <v>909</v>
      </c>
      <c r="B144" s="6" t="s">
        <v>301</v>
      </c>
      <c r="C144" s="6" t="s">
        <v>302</v>
      </c>
      <c r="D144" s="6" t="s">
        <v>303</v>
      </c>
      <c r="E144" s="6" t="s">
        <v>649</v>
      </c>
      <c r="F144" s="6" t="s">
        <v>607</v>
      </c>
      <c r="G144" s="6" t="s">
        <v>20</v>
      </c>
      <c r="H144" s="6" t="s">
        <v>49</v>
      </c>
      <c r="I144" s="6" t="s">
        <v>49</v>
      </c>
      <c r="J144" s="6" t="s">
        <v>441</v>
      </c>
      <c r="K144" s="9">
        <v>0.06</v>
      </c>
      <c r="L144" s="9">
        <v>37</v>
      </c>
      <c r="M144" s="14">
        <v>0.03</v>
      </c>
      <c r="N144" s="9">
        <f t="shared" si="2"/>
        <v>2.2866</v>
      </c>
      <c r="O144" s="6">
        <v>8.58</v>
      </c>
      <c r="P144" s="6" t="s">
        <v>49</v>
      </c>
      <c r="Q144" s="6" t="s">
        <v>769</v>
      </c>
      <c r="R144" s="6" t="s">
        <v>49</v>
      </c>
    </row>
    <row r="145" ht="28.8" spans="1:18">
      <c r="A145" s="6" t="s">
        <v>910</v>
      </c>
      <c r="B145" s="6" t="s">
        <v>301</v>
      </c>
      <c r="C145" s="6" t="s">
        <v>302</v>
      </c>
      <c r="D145" s="6" t="s">
        <v>303</v>
      </c>
      <c r="E145" s="6" t="s">
        <v>650</v>
      </c>
      <c r="F145" s="6" t="s">
        <v>605</v>
      </c>
      <c r="G145" s="6" t="s">
        <v>21</v>
      </c>
      <c r="H145" s="6" t="s">
        <v>49</v>
      </c>
      <c r="I145" s="6" t="s">
        <v>49</v>
      </c>
      <c r="J145" s="6" t="s">
        <v>437</v>
      </c>
      <c r="K145" s="9">
        <v>0.014</v>
      </c>
      <c r="L145" s="9">
        <v>37</v>
      </c>
      <c r="M145" s="14">
        <v>0.05</v>
      </c>
      <c r="N145" s="9">
        <f t="shared" si="2"/>
        <v>0.5439</v>
      </c>
      <c r="O145" s="6">
        <v>6.3</v>
      </c>
      <c r="P145" s="6" t="s">
        <v>49</v>
      </c>
      <c r="Q145" s="6" t="s">
        <v>769</v>
      </c>
      <c r="R145" s="6" t="s">
        <v>49</v>
      </c>
    </row>
    <row r="146" ht="28.8" spans="1:18">
      <c r="A146" s="6" t="s">
        <v>911</v>
      </c>
      <c r="B146" s="6" t="s">
        <v>301</v>
      </c>
      <c r="C146" s="6" t="s">
        <v>302</v>
      </c>
      <c r="D146" s="6" t="s">
        <v>303</v>
      </c>
      <c r="E146" s="6" t="s">
        <v>651</v>
      </c>
      <c r="F146" s="6" t="s">
        <v>564</v>
      </c>
      <c r="G146" s="6" t="s">
        <v>20</v>
      </c>
      <c r="H146" s="6" t="s">
        <v>49</v>
      </c>
      <c r="I146" s="6" t="s">
        <v>49</v>
      </c>
      <c r="J146" s="6" t="s">
        <v>437</v>
      </c>
      <c r="K146" s="9">
        <v>0.51</v>
      </c>
      <c r="L146" s="9">
        <v>37</v>
      </c>
      <c r="M146" s="14">
        <v>0.03</v>
      </c>
      <c r="N146" s="9">
        <f t="shared" si="2"/>
        <v>19.4361</v>
      </c>
      <c r="O146" s="6">
        <v>0.61</v>
      </c>
      <c r="P146" s="6" t="s">
        <v>49</v>
      </c>
      <c r="Q146" s="6" t="s">
        <v>769</v>
      </c>
      <c r="R146" s="6" t="s">
        <v>49</v>
      </c>
    </row>
    <row r="147" ht="28.8" spans="1:18">
      <c r="A147" s="6" t="s">
        <v>912</v>
      </c>
      <c r="B147" s="6" t="s">
        <v>301</v>
      </c>
      <c r="C147" s="6" t="s">
        <v>302</v>
      </c>
      <c r="D147" s="6" t="s">
        <v>303</v>
      </c>
      <c r="E147" s="6" t="s">
        <v>652</v>
      </c>
      <c r="F147" s="6" t="s">
        <v>545</v>
      </c>
      <c r="G147" s="6" t="s">
        <v>20</v>
      </c>
      <c r="H147" s="6" t="s">
        <v>49</v>
      </c>
      <c r="I147" s="6" t="s">
        <v>49</v>
      </c>
      <c r="J147" s="6" t="s">
        <v>437</v>
      </c>
      <c r="K147" s="9">
        <v>0.51</v>
      </c>
      <c r="L147" s="9">
        <v>37</v>
      </c>
      <c r="M147" s="14">
        <v>0.03</v>
      </c>
      <c r="N147" s="9">
        <f t="shared" si="2"/>
        <v>19.4361</v>
      </c>
      <c r="O147" s="6">
        <v>0.25</v>
      </c>
      <c r="P147" s="6" t="s">
        <v>49</v>
      </c>
      <c r="Q147" s="6" t="s">
        <v>769</v>
      </c>
      <c r="R147" s="6" t="s">
        <v>49</v>
      </c>
    </row>
    <row r="148" ht="28.8" spans="1:18">
      <c r="A148" s="6" t="s">
        <v>913</v>
      </c>
      <c r="B148" s="6" t="s">
        <v>301</v>
      </c>
      <c r="C148" s="6" t="s">
        <v>302</v>
      </c>
      <c r="D148" s="6" t="s">
        <v>303</v>
      </c>
      <c r="E148" s="6" t="s">
        <v>653</v>
      </c>
      <c r="F148" s="6" t="s">
        <v>654</v>
      </c>
      <c r="G148" s="6" t="s">
        <v>21</v>
      </c>
      <c r="H148" s="6" t="s">
        <v>49</v>
      </c>
      <c r="I148" s="6" t="s">
        <v>49</v>
      </c>
      <c r="J148" s="6" t="s">
        <v>437</v>
      </c>
      <c r="K148" s="9">
        <v>0.51</v>
      </c>
      <c r="L148" s="9">
        <v>37</v>
      </c>
      <c r="M148" s="14">
        <v>0.05</v>
      </c>
      <c r="N148" s="9">
        <f t="shared" si="2"/>
        <v>19.8135</v>
      </c>
      <c r="O148" s="6">
        <v>78.44</v>
      </c>
      <c r="P148" s="6" t="s">
        <v>49</v>
      </c>
      <c r="Q148" s="6" t="s">
        <v>769</v>
      </c>
      <c r="R148" s="6" t="s">
        <v>49</v>
      </c>
    </row>
    <row r="149" ht="28.8" spans="1:18">
      <c r="A149" s="6" t="s">
        <v>914</v>
      </c>
      <c r="B149" s="6" t="s">
        <v>301</v>
      </c>
      <c r="C149" s="6" t="s">
        <v>302</v>
      </c>
      <c r="D149" s="6" t="s">
        <v>303</v>
      </c>
      <c r="E149" s="6" t="s">
        <v>655</v>
      </c>
      <c r="F149" s="6" t="s">
        <v>656</v>
      </c>
      <c r="G149" s="6" t="s">
        <v>21</v>
      </c>
      <c r="H149" s="6" t="s">
        <v>49</v>
      </c>
      <c r="I149" s="6" t="s">
        <v>49</v>
      </c>
      <c r="J149" s="6" t="s">
        <v>437</v>
      </c>
      <c r="K149" s="9">
        <v>0.51</v>
      </c>
      <c r="L149" s="9">
        <v>37</v>
      </c>
      <c r="M149" s="14">
        <v>0.05</v>
      </c>
      <c r="N149" s="9">
        <f t="shared" si="2"/>
        <v>19.8135</v>
      </c>
      <c r="O149" s="6">
        <v>38.68</v>
      </c>
      <c r="P149" s="6" t="s">
        <v>49</v>
      </c>
      <c r="Q149" s="6" t="s">
        <v>769</v>
      </c>
      <c r="R149" s="6" t="s">
        <v>49</v>
      </c>
    </row>
    <row r="150" ht="28.8" spans="1:18">
      <c r="A150" s="6" t="s">
        <v>915</v>
      </c>
      <c r="B150" s="6" t="s">
        <v>305</v>
      </c>
      <c r="C150" s="6" t="s">
        <v>306</v>
      </c>
      <c r="D150" s="6" t="s">
        <v>242</v>
      </c>
      <c r="E150" s="6" t="s">
        <v>657</v>
      </c>
      <c r="F150" s="6" t="s">
        <v>541</v>
      </c>
      <c r="G150" s="6" t="s">
        <v>21</v>
      </c>
      <c r="H150" s="6" t="s">
        <v>49</v>
      </c>
      <c r="I150" s="6" t="s">
        <v>49</v>
      </c>
      <c r="J150" s="6" t="s">
        <v>437</v>
      </c>
      <c r="K150" s="9">
        <v>0.67</v>
      </c>
      <c r="L150" s="9">
        <v>914</v>
      </c>
      <c r="M150" s="14">
        <v>0.05</v>
      </c>
      <c r="N150" s="9">
        <f t="shared" si="2"/>
        <v>642.999</v>
      </c>
      <c r="O150" s="6">
        <v>673.61</v>
      </c>
      <c r="P150" s="6" t="s">
        <v>49</v>
      </c>
      <c r="Q150" s="6" t="s">
        <v>769</v>
      </c>
      <c r="R150" s="6" t="s">
        <v>49</v>
      </c>
    </row>
    <row r="151" ht="28.8" spans="1:18">
      <c r="A151" s="6" t="s">
        <v>916</v>
      </c>
      <c r="B151" s="6" t="s">
        <v>305</v>
      </c>
      <c r="C151" s="6" t="s">
        <v>306</v>
      </c>
      <c r="D151" s="6" t="s">
        <v>242</v>
      </c>
      <c r="E151" s="6" t="s">
        <v>658</v>
      </c>
      <c r="F151" s="6" t="s">
        <v>543</v>
      </c>
      <c r="G151" s="6" t="s">
        <v>20</v>
      </c>
      <c r="H151" s="6" t="s">
        <v>49</v>
      </c>
      <c r="I151" s="6" t="s">
        <v>49</v>
      </c>
      <c r="J151" s="6" t="s">
        <v>441</v>
      </c>
      <c r="K151" s="9">
        <v>0.038</v>
      </c>
      <c r="L151" s="9">
        <v>914</v>
      </c>
      <c r="M151" s="14">
        <v>0.03</v>
      </c>
      <c r="N151" s="9">
        <f t="shared" si="2"/>
        <v>35.77396</v>
      </c>
      <c r="O151" s="6">
        <v>40.82</v>
      </c>
      <c r="P151" s="6" t="s">
        <v>49</v>
      </c>
      <c r="Q151" s="6" t="s">
        <v>769</v>
      </c>
      <c r="R151" s="6" t="s">
        <v>49</v>
      </c>
    </row>
    <row r="152" ht="28.8" spans="1:18">
      <c r="A152" s="6" t="s">
        <v>917</v>
      </c>
      <c r="B152" s="6" t="s">
        <v>305</v>
      </c>
      <c r="C152" s="6" t="s">
        <v>306</v>
      </c>
      <c r="D152" s="6" t="s">
        <v>242</v>
      </c>
      <c r="E152" s="6" t="s">
        <v>659</v>
      </c>
      <c r="F152" s="6" t="s">
        <v>545</v>
      </c>
      <c r="G152" s="6" t="s">
        <v>20</v>
      </c>
      <c r="H152" s="6" t="s">
        <v>49</v>
      </c>
      <c r="I152" s="6" t="s">
        <v>49</v>
      </c>
      <c r="J152" s="6" t="s">
        <v>437</v>
      </c>
      <c r="K152" s="9">
        <v>0.012</v>
      </c>
      <c r="L152" s="9">
        <v>914</v>
      </c>
      <c r="M152" s="14">
        <v>0.03</v>
      </c>
      <c r="N152" s="9">
        <f t="shared" si="2"/>
        <v>11.29704</v>
      </c>
      <c r="O152" s="6">
        <v>12.07</v>
      </c>
      <c r="P152" s="6" t="s">
        <v>49</v>
      </c>
      <c r="Q152" s="6" t="s">
        <v>769</v>
      </c>
      <c r="R152" s="6" t="s">
        <v>49</v>
      </c>
    </row>
    <row r="153" ht="28.8" spans="1:18">
      <c r="A153" s="6" t="s">
        <v>918</v>
      </c>
      <c r="B153" s="6" t="s">
        <v>305</v>
      </c>
      <c r="C153" s="6" t="s">
        <v>306</v>
      </c>
      <c r="D153" s="6" t="s">
        <v>242</v>
      </c>
      <c r="E153" s="6" t="s">
        <v>660</v>
      </c>
      <c r="F153" s="6" t="s">
        <v>661</v>
      </c>
      <c r="G153" s="6" t="s">
        <v>21</v>
      </c>
      <c r="H153" s="6" t="s">
        <v>49</v>
      </c>
      <c r="I153" s="6" t="s">
        <v>49</v>
      </c>
      <c r="J153" s="6" t="s">
        <v>437</v>
      </c>
      <c r="K153" s="9">
        <v>0.67</v>
      </c>
      <c r="L153" s="9">
        <v>914</v>
      </c>
      <c r="M153" s="14">
        <v>0.05</v>
      </c>
      <c r="N153" s="9">
        <f t="shared" si="2"/>
        <v>642.999</v>
      </c>
      <c r="O153" s="6">
        <v>1937.68</v>
      </c>
      <c r="P153" s="6" t="s">
        <v>49</v>
      </c>
      <c r="Q153" s="6" t="s">
        <v>769</v>
      </c>
      <c r="R153" s="6" t="s">
        <v>49</v>
      </c>
    </row>
    <row r="154" ht="28.8" spans="1:18">
      <c r="A154" s="6" t="s">
        <v>919</v>
      </c>
      <c r="B154" s="6" t="s">
        <v>305</v>
      </c>
      <c r="C154" s="6" t="s">
        <v>306</v>
      </c>
      <c r="D154" s="6" t="s">
        <v>242</v>
      </c>
      <c r="E154" s="6" t="s">
        <v>662</v>
      </c>
      <c r="F154" s="6" t="s">
        <v>663</v>
      </c>
      <c r="G154" s="6" t="s">
        <v>21</v>
      </c>
      <c r="H154" s="6" t="s">
        <v>49</v>
      </c>
      <c r="I154" s="6" t="s">
        <v>49</v>
      </c>
      <c r="J154" s="6" t="s">
        <v>437</v>
      </c>
      <c r="K154" s="9">
        <v>0.67</v>
      </c>
      <c r="L154" s="9">
        <v>914</v>
      </c>
      <c r="M154" s="14">
        <v>0.05</v>
      </c>
      <c r="N154" s="9">
        <f t="shared" si="2"/>
        <v>642.999</v>
      </c>
      <c r="O154" s="6">
        <v>904.86</v>
      </c>
      <c r="P154" s="6" t="s">
        <v>49</v>
      </c>
      <c r="Q154" s="6" t="s">
        <v>769</v>
      </c>
      <c r="R154" s="6" t="s">
        <v>49</v>
      </c>
    </row>
    <row r="155" ht="28.8" spans="1:18">
      <c r="A155" s="6" t="s">
        <v>920</v>
      </c>
      <c r="B155" s="6" t="s">
        <v>309</v>
      </c>
      <c r="C155" s="6" t="s">
        <v>310</v>
      </c>
      <c r="D155" s="6" t="s">
        <v>247</v>
      </c>
      <c r="E155" s="6" t="s">
        <v>664</v>
      </c>
      <c r="F155" s="6" t="s">
        <v>541</v>
      </c>
      <c r="G155" s="6" t="s">
        <v>21</v>
      </c>
      <c r="H155" s="6" t="s">
        <v>49</v>
      </c>
      <c r="I155" s="6" t="s">
        <v>49</v>
      </c>
      <c r="J155" s="6" t="s">
        <v>437</v>
      </c>
      <c r="K155" s="9">
        <v>0.56</v>
      </c>
      <c r="L155" s="9">
        <v>95</v>
      </c>
      <c r="M155" s="14">
        <v>0.05</v>
      </c>
      <c r="N155" s="9">
        <f t="shared" si="2"/>
        <v>55.86</v>
      </c>
      <c r="O155" s="6">
        <v>58.53</v>
      </c>
      <c r="P155" s="6" t="s">
        <v>49</v>
      </c>
      <c r="Q155" s="6" t="s">
        <v>769</v>
      </c>
      <c r="R155" s="6" t="s">
        <v>49</v>
      </c>
    </row>
    <row r="156" ht="28.8" spans="1:18">
      <c r="A156" s="6" t="s">
        <v>921</v>
      </c>
      <c r="B156" s="6" t="s">
        <v>309</v>
      </c>
      <c r="C156" s="6" t="s">
        <v>310</v>
      </c>
      <c r="D156" s="6" t="s">
        <v>247</v>
      </c>
      <c r="E156" s="6" t="s">
        <v>665</v>
      </c>
      <c r="F156" s="6" t="s">
        <v>543</v>
      </c>
      <c r="G156" s="6" t="s">
        <v>20</v>
      </c>
      <c r="H156" s="6" t="s">
        <v>49</v>
      </c>
      <c r="I156" s="6" t="s">
        <v>49</v>
      </c>
      <c r="J156" s="6" t="s">
        <v>441</v>
      </c>
      <c r="K156" s="9">
        <v>0.035</v>
      </c>
      <c r="L156" s="9">
        <v>95</v>
      </c>
      <c r="M156" s="14">
        <v>0.03</v>
      </c>
      <c r="N156" s="9">
        <f t="shared" si="2"/>
        <v>3.42475</v>
      </c>
      <c r="O156" s="6">
        <v>3.79</v>
      </c>
      <c r="P156" s="6" t="s">
        <v>49</v>
      </c>
      <c r="Q156" s="6" t="s">
        <v>769</v>
      </c>
      <c r="R156" s="6" t="s">
        <v>49</v>
      </c>
    </row>
    <row r="157" ht="28.8" spans="1:18">
      <c r="A157" s="6" t="s">
        <v>922</v>
      </c>
      <c r="B157" s="6" t="s">
        <v>309</v>
      </c>
      <c r="C157" s="6" t="s">
        <v>310</v>
      </c>
      <c r="D157" s="6" t="s">
        <v>247</v>
      </c>
      <c r="E157" s="6" t="s">
        <v>666</v>
      </c>
      <c r="F157" s="6" t="s">
        <v>545</v>
      </c>
      <c r="G157" s="6" t="s">
        <v>20</v>
      </c>
      <c r="H157" s="6" t="s">
        <v>49</v>
      </c>
      <c r="I157" s="6" t="s">
        <v>49</v>
      </c>
      <c r="J157" s="6" t="s">
        <v>437</v>
      </c>
      <c r="K157" s="9">
        <v>0.01</v>
      </c>
      <c r="L157" s="9">
        <v>95</v>
      </c>
      <c r="M157" s="14">
        <v>0.03</v>
      </c>
      <c r="N157" s="9">
        <f t="shared" si="2"/>
        <v>0.9785</v>
      </c>
      <c r="O157" s="6">
        <v>1.06</v>
      </c>
      <c r="P157" s="6" t="s">
        <v>49</v>
      </c>
      <c r="Q157" s="6" t="s">
        <v>769</v>
      </c>
      <c r="R157" s="6" t="s">
        <v>49</v>
      </c>
    </row>
    <row r="158" ht="28.8" spans="1:18">
      <c r="A158" s="6" t="s">
        <v>923</v>
      </c>
      <c r="B158" s="6" t="s">
        <v>309</v>
      </c>
      <c r="C158" s="6" t="s">
        <v>310</v>
      </c>
      <c r="D158" s="6" t="s">
        <v>247</v>
      </c>
      <c r="E158" s="6" t="s">
        <v>667</v>
      </c>
      <c r="F158" s="6" t="s">
        <v>668</v>
      </c>
      <c r="G158" s="6" t="s">
        <v>21</v>
      </c>
      <c r="H158" s="6" t="s">
        <v>49</v>
      </c>
      <c r="I158" s="6" t="s">
        <v>49</v>
      </c>
      <c r="J158" s="6" t="s">
        <v>437</v>
      </c>
      <c r="K158" s="9">
        <v>0.56</v>
      </c>
      <c r="L158" s="9">
        <v>95</v>
      </c>
      <c r="M158" s="14">
        <v>0.05</v>
      </c>
      <c r="N158" s="9">
        <f t="shared" si="2"/>
        <v>55.86</v>
      </c>
      <c r="O158" s="6">
        <v>201.4</v>
      </c>
      <c r="P158" s="6" t="s">
        <v>49</v>
      </c>
      <c r="Q158" s="6" t="s">
        <v>769</v>
      </c>
      <c r="R158" s="6" t="s">
        <v>49</v>
      </c>
    </row>
    <row r="159" ht="28.8" spans="1:18">
      <c r="A159" s="6" t="s">
        <v>924</v>
      </c>
      <c r="B159" s="6" t="s">
        <v>309</v>
      </c>
      <c r="C159" s="6" t="s">
        <v>310</v>
      </c>
      <c r="D159" s="6" t="s">
        <v>247</v>
      </c>
      <c r="E159" s="6" t="s">
        <v>669</v>
      </c>
      <c r="F159" s="6" t="s">
        <v>670</v>
      </c>
      <c r="G159" s="6" t="s">
        <v>21</v>
      </c>
      <c r="H159" s="6" t="s">
        <v>49</v>
      </c>
      <c r="I159" s="6" t="s">
        <v>49</v>
      </c>
      <c r="J159" s="6" t="s">
        <v>437</v>
      </c>
      <c r="K159" s="9">
        <v>0.56</v>
      </c>
      <c r="L159" s="9">
        <v>95</v>
      </c>
      <c r="M159" s="14">
        <v>0.05</v>
      </c>
      <c r="N159" s="9">
        <f t="shared" si="2"/>
        <v>55.86</v>
      </c>
      <c r="O159" s="6">
        <v>94.05</v>
      </c>
      <c r="P159" s="6" t="s">
        <v>49</v>
      </c>
      <c r="Q159" s="6" t="s">
        <v>769</v>
      </c>
      <c r="R159" s="6" t="s">
        <v>49</v>
      </c>
    </row>
    <row r="160" ht="28.8" spans="1:18">
      <c r="A160" s="6" t="s">
        <v>925</v>
      </c>
      <c r="B160" s="6" t="s">
        <v>312</v>
      </c>
      <c r="C160" s="6" t="s">
        <v>313</v>
      </c>
      <c r="D160" s="6" t="s">
        <v>314</v>
      </c>
      <c r="E160" s="6" t="s">
        <v>671</v>
      </c>
      <c r="F160" s="6" t="s">
        <v>672</v>
      </c>
      <c r="G160" s="6" t="s">
        <v>21</v>
      </c>
      <c r="H160" s="6" t="s">
        <v>49</v>
      </c>
      <c r="I160" s="6" t="s">
        <v>49</v>
      </c>
      <c r="J160" s="6" t="s">
        <v>437</v>
      </c>
      <c r="K160" s="9">
        <v>0.87</v>
      </c>
      <c r="L160" s="9">
        <v>905</v>
      </c>
      <c r="M160" s="14">
        <v>0.05</v>
      </c>
      <c r="N160" s="9">
        <f t="shared" si="2"/>
        <v>826.7175</v>
      </c>
      <c r="O160" s="6">
        <v>867.06</v>
      </c>
      <c r="P160" s="6" t="s">
        <v>316</v>
      </c>
      <c r="Q160" s="6" t="s">
        <v>769</v>
      </c>
      <c r="R160" s="6" t="s">
        <v>49</v>
      </c>
    </row>
    <row r="161" ht="28.8" spans="1:18">
      <c r="A161" s="6" t="s">
        <v>926</v>
      </c>
      <c r="B161" s="6" t="s">
        <v>312</v>
      </c>
      <c r="C161" s="6" t="s">
        <v>313</v>
      </c>
      <c r="D161" s="6" t="s">
        <v>314</v>
      </c>
      <c r="E161" s="6" t="s">
        <v>673</v>
      </c>
      <c r="F161" s="6" t="s">
        <v>674</v>
      </c>
      <c r="G161" s="6" t="s">
        <v>21</v>
      </c>
      <c r="H161" s="6" t="s">
        <v>49</v>
      </c>
      <c r="I161" s="6" t="s">
        <v>49</v>
      </c>
      <c r="J161" s="6" t="s">
        <v>437</v>
      </c>
      <c r="K161" s="9">
        <v>0.03</v>
      </c>
      <c r="L161" s="9">
        <v>905</v>
      </c>
      <c r="M161" s="14">
        <v>0.05</v>
      </c>
      <c r="N161" s="9">
        <f t="shared" si="2"/>
        <v>28.5075</v>
      </c>
      <c r="O161" s="6">
        <v>29.92</v>
      </c>
      <c r="P161" s="6" t="s">
        <v>316</v>
      </c>
      <c r="Q161" s="6" t="s">
        <v>769</v>
      </c>
      <c r="R161" s="6" t="s">
        <v>49</v>
      </c>
    </row>
    <row r="162" ht="28.8" spans="1:18">
      <c r="A162" s="6" t="s">
        <v>927</v>
      </c>
      <c r="B162" s="6" t="s">
        <v>312</v>
      </c>
      <c r="C162" s="6" t="s">
        <v>313</v>
      </c>
      <c r="D162" s="6" t="s">
        <v>314</v>
      </c>
      <c r="E162" s="6" t="s">
        <v>675</v>
      </c>
      <c r="F162" s="6" t="s">
        <v>672</v>
      </c>
      <c r="G162" s="6" t="s">
        <v>21</v>
      </c>
      <c r="H162" s="6" t="s">
        <v>49</v>
      </c>
      <c r="I162" s="6" t="s">
        <v>49</v>
      </c>
      <c r="J162" s="6" t="s">
        <v>437</v>
      </c>
      <c r="K162" s="9">
        <v>0.87</v>
      </c>
      <c r="L162" s="9">
        <v>905</v>
      </c>
      <c r="M162" s="14">
        <v>0.05</v>
      </c>
      <c r="N162" s="9">
        <f t="shared" si="2"/>
        <v>826.7175</v>
      </c>
      <c r="O162" s="6">
        <v>49.83</v>
      </c>
      <c r="P162" s="6" t="s">
        <v>316</v>
      </c>
      <c r="Q162" s="6" t="s">
        <v>769</v>
      </c>
      <c r="R162" s="6" t="s">
        <v>49</v>
      </c>
    </row>
    <row r="163" ht="28.8" spans="1:18">
      <c r="A163" s="6" t="s">
        <v>928</v>
      </c>
      <c r="B163" s="6" t="s">
        <v>317</v>
      </c>
      <c r="C163" s="6" t="s">
        <v>318</v>
      </c>
      <c r="D163" s="6" t="s">
        <v>319</v>
      </c>
      <c r="E163" s="6" t="s">
        <v>676</v>
      </c>
      <c r="F163" s="6" t="s">
        <v>672</v>
      </c>
      <c r="G163" s="6" t="s">
        <v>21</v>
      </c>
      <c r="H163" s="6" t="s">
        <v>49</v>
      </c>
      <c r="I163" s="6" t="s">
        <v>49</v>
      </c>
      <c r="J163" s="6" t="s">
        <v>437</v>
      </c>
      <c r="K163" s="9">
        <v>0.63</v>
      </c>
      <c r="L163" s="9">
        <v>198</v>
      </c>
      <c r="M163" s="14">
        <v>0.05</v>
      </c>
      <c r="N163" s="9">
        <f t="shared" si="2"/>
        <v>130.977</v>
      </c>
      <c r="O163" s="6">
        <v>137.23</v>
      </c>
      <c r="P163" s="6" t="s">
        <v>49</v>
      </c>
      <c r="Q163" s="6" t="s">
        <v>769</v>
      </c>
      <c r="R163" s="6" t="s">
        <v>49</v>
      </c>
    </row>
    <row r="164" ht="28.8" spans="1:18">
      <c r="A164" s="6" t="s">
        <v>929</v>
      </c>
      <c r="B164" s="6" t="s">
        <v>317</v>
      </c>
      <c r="C164" s="6" t="s">
        <v>318</v>
      </c>
      <c r="D164" s="6" t="s">
        <v>319</v>
      </c>
      <c r="E164" s="6" t="s">
        <v>677</v>
      </c>
      <c r="F164" s="6" t="s">
        <v>674</v>
      </c>
      <c r="G164" s="6" t="s">
        <v>21</v>
      </c>
      <c r="H164" s="6" t="s">
        <v>49</v>
      </c>
      <c r="I164" s="6" t="s">
        <v>49</v>
      </c>
      <c r="J164" s="6" t="s">
        <v>437</v>
      </c>
      <c r="K164" s="9">
        <v>0.02</v>
      </c>
      <c r="L164" s="9">
        <v>198</v>
      </c>
      <c r="M164" s="14">
        <v>0.05</v>
      </c>
      <c r="N164" s="9">
        <f t="shared" si="2"/>
        <v>4.158</v>
      </c>
      <c r="O164" s="6">
        <v>4.38</v>
      </c>
      <c r="P164" s="6" t="s">
        <v>49</v>
      </c>
      <c r="Q164" s="6" t="s">
        <v>769</v>
      </c>
      <c r="R164" s="6" t="s">
        <v>49</v>
      </c>
    </row>
    <row r="165" ht="28.8" spans="1:18">
      <c r="A165" s="6" t="s">
        <v>930</v>
      </c>
      <c r="B165" s="6" t="s">
        <v>317</v>
      </c>
      <c r="C165" s="6" t="s">
        <v>318</v>
      </c>
      <c r="D165" s="6" t="s">
        <v>319</v>
      </c>
      <c r="E165" s="6" t="s">
        <v>678</v>
      </c>
      <c r="F165" s="6" t="s">
        <v>672</v>
      </c>
      <c r="G165" s="6" t="s">
        <v>21</v>
      </c>
      <c r="H165" s="6" t="s">
        <v>49</v>
      </c>
      <c r="I165" s="6" t="s">
        <v>49</v>
      </c>
      <c r="J165" s="6" t="s">
        <v>437</v>
      </c>
      <c r="K165" s="9">
        <v>0.63</v>
      </c>
      <c r="L165" s="9">
        <v>198</v>
      </c>
      <c r="M165" s="14">
        <v>0.05</v>
      </c>
      <c r="N165" s="9">
        <f t="shared" si="2"/>
        <v>130.977</v>
      </c>
      <c r="O165" s="6">
        <v>10.89</v>
      </c>
      <c r="P165" s="6" t="s">
        <v>49</v>
      </c>
      <c r="Q165" s="6" t="s">
        <v>769</v>
      </c>
      <c r="R165" s="6" t="s">
        <v>49</v>
      </c>
    </row>
    <row r="166" ht="28.8" spans="1:18">
      <c r="A166" s="6" t="s">
        <v>931</v>
      </c>
      <c r="B166" s="6" t="s">
        <v>320</v>
      </c>
      <c r="C166" s="6" t="s">
        <v>321</v>
      </c>
      <c r="D166" s="6" t="s">
        <v>314</v>
      </c>
      <c r="E166" s="6" t="s">
        <v>679</v>
      </c>
      <c r="F166" s="6" t="s">
        <v>672</v>
      </c>
      <c r="G166" s="6" t="s">
        <v>21</v>
      </c>
      <c r="H166" s="6" t="s">
        <v>49</v>
      </c>
      <c r="I166" s="6" t="s">
        <v>49</v>
      </c>
      <c r="J166" s="6" t="s">
        <v>437</v>
      </c>
      <c r="K166" s="9">
        <v>0.87</v>
      </c>
      <c r="L166" s="9">
        <v>5146</v>
      </c>
      <c r="M166" s="14">
        <v>0.05</v>
      </c>
      <c r="N166" s="9">
        <f t="shared" si="2"/>
        <v>4700.871</v>
      </c>
      <c r="O166" s="6">
        <v>4924.73</v>
      </c>
      <c r="P166" s="6" t="s">
        <v>316</v>
      </c>
      <c r="Q166" s="6" t="s">
        <v>769</v>
      </c>
      <c r="R166" s="6" t="s">
        <v>49</v>
      </c>
    </row>
    <row r="167" ht="28.8" spans="1:18">
      <c r="A167" s="6" t="s">
        <v>932</v>
      </c>
      <c r="B167" s="6" t="s">
        <v>320</v>
      </c>
      <c r="C167" s="6" t="s">
        <v>321</v>
      </c>
      <c r="D167" s="6" t="s">
        <v>314</v>
      </c>
      <c r="E167" s="6" t="s">
        <v>680</v>
      </c>
      <c r="F167" s="6" t="s">
        <v>674</v>
      </c>
      <c r="G167" s="6" t="s">
        <v>21</v>
      </c>
      <c r="H167" s="6" t="s">
        <v>49</v>
      </c>
      <c r="I167" s="6" t="s">
        <v>49</v>
      </c>
      <c r="J167" s="6" t="s">
        <v>437</v>
      </c>
      <c r="K167" s="9">
        <v>0.03</v>
      </c>
      <c r="L167" s="9">
        <v>5146</v>
      </c>
      <c r="M167" s="14">
        <v>0.05</v>
      </c>
      <c r="N167" s="9">
        <f t="shared" si="2"/>
        <v>162.099</v>
      </c>
      <c r="O167" s="6">
        <v>169.83</v>
      </c>
      <c r="P167" s="6" t="s">
        <v>316</v>
      </c>
      <c r="Q167" s="6" t="s">
        <v>769</v>
      </c>
      <c r="R167" s="6" t="s">
        <v>49</v>
      </c>
    </row>
    <row r="168" ht="28.8" spans="1:18">
      <c r="A168" s="6" t="s">
        <v>933</v>
      </c>
      <c r="B168" s="6" t="s">
        <v>320</v>
      </c>
      <c r="C168" s="6" t="s">
        <v>321</v>
      </c>
      <c r="D168" s="6" t="s">
        <v>314</v>
      </c>
      <c r="E168" s="6" t="s">
        <v>681</v>
      </c>
      <c r="F168" s="6" t="s">
        <v>672</v>
      </c>
      <c r="G168" s="6" t="s">
        <v>21</v>
      </c>
      <c r="H168" s="6" t="s">
        <v>49</v>
      </c>
      <c r="I168" s="6" t="s">
        <v>49</v>
      </c>
      <c r="J168" s="6" t="s">
        <v>437</v>
      </c>
      <c r="K168" s="9">
        <v>0.87</v>
      </c>
      <c r="L168" s="9">
        <v>5146</v>
      </c>
      <c r="M168" s="14">
        <v>0.05</v>
      </c>
      <c r="N168" s="9">
        <f t="shared" si="2"/>
        <v>4700.871</v>
      </c>
      <c r="O168" s="6">
        <v>283.03</v>
      </c>
      <c r="P168" s="6" t="s">
        <v>316</v>
      </c>
      <c r="Q168" s="6" t="s">
        <v>769</v>
      </c>
      <c r="R168" s="6" t="s">
        <v>49</v>
      </c>
    </row>
    <row r="169" ht="28.8" spans="1:18">
      <c r="A169" s="6" t="s">
        <v>934</v>
      </c>
      <c r="B169" s="6" t="s">
        <v>322</v>
      </c>
      <c r="C169" s="6" t="s">
        <v>323</v>
      </c>
      <c r="D169" s="6" t="s">
        <v>319</v>
      </c>
      <c r="E169" s="6" t="s">
        <v>682</v>
      </c>
      <c r="F169" s="6" t="s">
        <v>672</v>
      </c>
      <c r="G169" s="6" t="s">
        <v>21</v>
      </c>
      <c r="H169" s="6" t="s">
        <v>49</v>
      </c>
      <c r="I169" s="6" t="s">
        <v>49</v>
      </c>
      <c r="J169" s="6" t="s">
        <v>437</v>
      </c>
      <c r="K169" s="9">
        <v>0.65</v>
      </c>
      <c r="L169" s="9">
        <v>712</v>
      </c>
      <c r="M169" s="14">
        <v>0.05</v>
      </c>
      <c r="N169" s="9">
        <f t="shared" si="2"/>
        <v>485.94</v>
      </c>
      <c r="O169" s="6">
        <v>509.09</v>
      </c>
      <c r="P169" s="6" t="s">
        <v>49</v>
      </c>
      <c r="Q169" s="6" t="s">
        <v>769</v>
      </c>
      <c r="R169" s="6" t="s">
        <v>49</v>
      </c>
    </row>
    <row r="170" ht="28.8" spans="1:18">
      <c r="A170" s="6" t="s">
        <v>935</v>
      </c>
      <c r="B170" s="6" t="s">
        <v>322</v>
      </c>
      <c r="C170" s="6" t="s">
        <v>323</v>
      </c>
      <c r="D170" s="6" t="s">
        <v>319</v>
      </c>
      <c r="E170" s="6" t="s">
        <v>683</v>
      </c>
      <c r="F170" s="6" t="s">
        <v>674</v>
      </c>
      <c r="G170" s="6" t="s">
        <v>21</v>
      </c>
      <c r="H170" s="6" t="s">
        <v>49</v>
      </c>
      <c r="I170" s="6" t="s">
        <v>49</v>
      </c>
      <c r="J170" s="6" t="s">
        <v>437</v>
      </c>
      <c r="K170" s="9">
        <v>0.02</v>
      </c>
      <c r="L170" s="9">
        <v>712</v>
      </c>
      <c r="M170" s="14">
        <v>0.05</v>
      </c>
      <c r="N170" s="9">
        <f t="shared" si="2"/>
        <v>14.952</v>
      </c>
      <c r="O170" s="6">
        <v>15.67</v>
      </c>
      <c r="P170" s="6" t="s">
        <v>49</v>
      </c>
      <c r="Q170" s="6" t="s">
        <v>769</v>
      </c>
      <c r="R170" s="6" t="s">
        <v>49</v>
      </c>
    </row>
    <row r="171" ht="28.8" spans="1:18">
      <c r="A171" s="6" t="s">
        <v>936</v>
      </c>
      <c r="B171" s="6" t="s">
        <v>322</v>
      </c>
      <c r="C171" s="6" t="s">
        <v>323</v>
      </c>
      <c r="D171" s="6" t="s">
        <v>319</v>
      </c>
      <c r="E171" s="6" t="s">
        <v>684</v>
      </c>
      <c r="F171" s="6" t="s">
        <v>672</v>
      </c>
      <c r="G171" s="6" t="s">
        <v>21</v>
      </c>
      <c r="H171" s="6" t="s">
        <v>49</v>
      </c>
      <c r="I171" s="6" t="s">
        <v>49</v>
      </c>
      <c r="J171" s="6" t="s">
        <v>437</v>
      </c>
      <c r="K171" s="9">
        <v>0.65</v>
      </c>
      <c r="L171" s="9">
        <v>712</v>
      </c>
      <c r="M171" s="14">
        <v>0.05</v>
      </c>
      <c r="N171" s="9">
        <f t="shared" si="2"/>
        <v>485.94</v>
      </c>
      <c r="O171" s="6">
        <v>39.16</v>
      </c>
      <c r="P171" s="6" t="s">
        <v>49</v>
      </c>
      <c r="Q171" s="6" t="s">
        <v>769</v>
      </c>
      <c r="R171" s="6" t="s">
        <v>49</v>
      </c>
    </row>
    <row r="172" ht="28.8" spans="1:18">
      <c r="A172" s="6" t="s">
        <v>937</v>
      </c>
      <c r="B172" s="6" t="s">
        <v>324</v>
      </c>
      <c r="C172" s="6" t="s">
        <v>325</v>
      </c>
      <c r="D172" s="6" t="s">
        <v>314</v>
      </c>
      <c r="E172" s="6" t="s">
        <v>685</v>
      </c>
      <c r="F172" s="6" t="s">
        <v>672</v>
      </c>
      <c r="G172" s="6" t="s">
        <v>21</v>
      </c>
      <c r="H172" s="6" t="s">
        <v>49</v>
      </c>
      <c r="I172" s="6" t="s">
        <v>49</v>
      </c>
      <c r="J172" s="6" t="s">
        <v>437</v>
      </c>
      <c r="K172" s="9">
        <v>0.87</v>
      </c>
      <c r="L172" s="9">
        <v>2592</v>
      </c>
      <c r="M172" s="14">
        <v>0.05</v>
      </c>
      <c r="N172" s="9">
        <f t="shared" si="2"/>
        <v>2367.792</v>
      </c>
      <c r="O172" s="6">
        <v>2480.56</v>
      </c>
      <c r="P172" s="6" t="s">
        <v>316</v>
      </c>
      <c r="Q172" s="6" t="s">
        <v>769</v>
      </c>
      <c r="R172" s="6" t="s">
        <v>49</v>
      </c>
    </row>
    <row r="173" ht="28.8" spans="1:18">
      <c r="A173" s="6" t="s">
        <v>938</v>
      </c>
      <c r="B173" s="6" t="s">
        <v>324</v>
      </c>
      <c r="C173" s="6" t="s">
        <v>325</v>
      </c>
      <c r="D173" s="6" t="s">
        <v>314</v>
      </c>
      <c r="E173" s="6" t="s">
        <v>686</v>
      </c>
      <c r="F173" s="6" t="s">
        <v>674</v>
      </c>
      <c r="G173" s="6" t="s">
        <v>21</v>
      </c>
      <c r="H173" s="6" t="s">
        <v>49</v>
      </c>
      <c r="I173" s="6" t="s">
        <v>49</v>
      </c>
      <c r="J173" s="6" t="s">
        <v>437</v>
      </c>
      <c r="K173" s="9">
        <v>0.025</v>
      </c>
      <c r="L173" s="9">
        <v>2592</v>
      </c>
      <c r="M173" s="14">
        <v>0.05</v>
      </c>
      <c r="N173" s="9">
        <f t="shared" si="2"/>
        <v>68.04</v>
      </c>
      <c r="O173" s="6">
        <v>71.3</v>
      </c>
      <c r="P173" s="6" t="s">
        <v>316</v>
      </c>
      <c r="Q173" s="6" t="s">
        <v>769</v>
      </c>
      <c r="R173" s="6" t="s">
        <v>49</v>
      </c>
    </row>
    <row r="174" ht="28.8" spans="1:18">
      <c r="A174" s="6" t="s">
        <v>939</v>
      </c>
      <c r="B174" s="6" t="s">
        <v>324</v>
      </c>
      <c r="C174" s="6" t="s">
        <v>325</v>
      </c>
      <c r="D174" s="6" t="s">
        <v>314</v>
      </c>
      <c r="E174" s="6" t="s">
        <v>687</v>
      </c>
      <c r="F174" s="6" t="s">
        <v>672</v>
      </c>
      <c r="G174" s="6" t="s">
        <v>21</v>
      </c>
      <c r="H174" s="6" t="s">
        <v>49</v>
      </c>
      <c r="I174" s="6" t="s">
        <v>49</v>
      </c>
      <c r="J174" s="6" t="s">
        <v>437</v>
      </c>
      <c r="K174" s="9">
        <v>0.87</v>
      </c>
      <c r="L174" s="9">
        <v>2592</v>
      </c>
      <c r="M174" s="14">
        <v>0.05</v>
      </c>
      <c r="N174" s="9">
        <f t="shared" si="2"/>
        <v>2367.792</v>
      </c>
      <c r="O174" s="6">
        <v>142.56</v>
      </c>
      <c r="P174" s="6" t="s">
        <v>316</v>
      </c>
      <c r="Q174" s="6" t="s">
        <v>769</v>
      </c>
      <c r="R174" s="6" t="s">
        <v>49</v>
      </c>
    </row>
    <row r="175" ht="28.8" spans="1:18">
      <c r="A175" s="6" t="s">
        <v>940</v>
      </c>
      <c r="B175" s="6" t="s">
        <v>326</v>
      </c>
      <c r="C175" s="6" t="s">
        <v>327</v>
      </c>
      <c r="D175" s="6" t="s">
        <v>319</v>
      </c>
      <c r="E175" s="6" t="s">
        <v>688</v>
      </c>
      <c r="F175" s="6" t="s">
        <v>672</v>
      </c>
      <c r="G175" s="6" t="s">
        <v>21</v>
      </c>
      <c r="H175" s="6" t="s">
        <v>49</v>
      </c>
      <c r="I175" s="6" t="s">
        <v>49</v>
      </c>
      <c r="J175" s="6" t="s">
        <v>437</v>
      </c>
      <c r="K175" s="9">
        <v>0.64</v>
      </c>
      <c r="L175" s="9">
        <v>810</v>
      </c>
      <c r="M175" s="14">
        <v>0.05</v>
      </c>
      <c r="N175" s="9">
        <f t="shared" si="2"/>
        <v>544.32</v>
      </c>
      <c r="O175" s="6">
        <v>570.25</v>
      </c>
      <c r="P175" s="6" t="s">
        <v>49</v>
      </c>
      <c r="Q175" s="6" t="s">
        <v>769</v>
      </c>
      <c r="R175" s="6" t="s">
        <v>49</v>
      </c>
    </row>
    <row r="176" ht="28.8" spans="1:18">
      <c r="A176" s="6" t="s">
        <v>941</v>
      </c>
      <c r="B176" s="6" t="s">
        <v>326</v>
      </c>
      <c r="C176" s="6" t="s">
        <v>327</v>
      </c>
      <c r="D176" s="6" t="s">
        <v>319</v>
      </c>
      <c r="E176" s="6" t="s">
        <v>689</v>
      </c>
      <c r="F176" s="6" t="s">
        <v>674</v>
      </c>
      <c r="G176" s="6" t="s">
        <v>21</v>
      </c>
      <c r="H176" s="6" t="s">
        <v>49</v>
      </c>
      <c r="I176" s="6" t="s">
        <v>49</v>
      </c>
      <c r="J176" s="6" t="s">
        <v>437</v>
      </c>
      <c r="K176" s="9">
        <v>0.025</v>
      </c>
      <c r="L176" s="9">
        <v>810</v>
      </c>
      <c r="M176" s="14">
        <v>0.05</v>
      </c>
      <c r="N176" s="9">
        <f t="shared" si="2"/>
        <v>21.2625</v>
      </c>
      <c r="O176" s="6">
        <v>22.27</v>
      </c>
      <c r="P176" s="6" t="s">
        <v>49</v>
      </c>
      <c r="Q176" s="6" t="s">
        <v>769</v>
      </c>
      <c r="R176" s="6" t="s">
        <v>49</v>
      </c>
    </row>
    <row r="177" ht="28.8" spans="1:18">
      <c r="A177" s="6" t="s">
        <v>942</v>
      </c>
      <c r="B177" s="6" t="s">
        <v>326</v>
      </c>
      <c r="C177" s="6" t="s">
        <v>327</v>
      </c>
      <c r="D177" s="6" t="s">
        <v>319</v>
      </c>
      <c r="E177" s="6" t="s">
        <v>690</v>
      </c>
      <c r="F177" s="6" t="s">
        <v>672</v>
      </c>
      <c r="G177" s="6" t="s">
        <v>21</v>
      </c>
      <c r="H177" s="6" t="s">
        <v>49</v>
      </c>
      <c r="I177" s="6" t="s">
        <v>49</v>
      </c>
      <c r="J177" s="6" t="s">
        <v>437</v>
      </c>
      <c r="K177" s="9">
        <v>0.64</v>
      </c>
      <c r="L177" s="9">
        <v>810</v>
      </c>
      <c r="M177" s="14">
        <v>0.05</v>
      </c>
      <c r="N177" s="9">
        <f t="shared" si="2"/>
        <v>544.32</v>
      </c>
      <c r="O177" s="6">
        <v>44.55</v>
      </c>
      <c r="P177" s="6" t="s">
        <v>49</v>
      </c>
      <c r="Q177" s="6" t="s">
        <v>769</v>
      </c>
      <c r="R177" s="6" t="s">
        <v>49</v>
      </c>
    </row>
    <row r="178" ht="28.8" spans="1:18">
      <c r="A178" s="6" t="s">
        <v>943</v>
      </c>
      <c r="B178" s="6" t="s">
        <v>328</v>
      </c>
      <c r="C178" s="6" t="s">
        <v>329</v>
      </c>
      <c r="D178" s="6" t="s">
        <v>314</v>
      </c>
      <c r="E178" s="6" t="s">
        <v>691</v>
      </c>
      <c r="F178" s="6" t="s">
        <v>672</v>
      </c>
      <c r="G178" s="6" t="s">
        <v>21</v>
      </c>
      <c r="H178" s="6" t="s">
        <v>49</v>
      </c>
      <c r="I178" s="6" t="s">
        <v>49</v>
      </c>
      <c r="J178" s="6" t="s">
        <v>437</v>
      </c>
      <c r="K178" s="9">
        <v>0.87</v>
      </c>
      <c r="L178" s="9">
        <v>634</v>
      </c>
      <c r="M178" s="14">
        <v>0.05</v>
      </c>
      <c r="N178" s="9">
        <f t="shared" si="2"/>
        <v>579.159</v>
      </c>
      <c r="O178" s="6">
        <v>606.76</v>
      </c>
      <c r="P178" s="6" t="s">
        <v>316</v>
      </c>
      <c r="Q178" s="6" t="s">
        <v>769</v>
      </c>
      <c r="R178" s="6" t="s">
        <v>49</v>
      </c>
    </row>
    <row r="179" ht="28.8" spans="1:18">
      <c r="A179" s="6" t="s">
        <v>944</v>
      </c>
      <c r="B179" s="6" t="s">
        <v>328</v>
      </c>
      <c r="C179" s="6" t="s">
        <v>329</v>
      </c>
      <c r="D179" s="6" t="s">
        <v>314</v>
      </c>
      <c r="E179" s="6" t="s">
        <v>692</v>
      </c>
      <c r="F179" s="6" t="s">
        <v>674</v>
      </c>
      <c r="G179" s="6" t="s">
        <v>21</v>
      </c>
      <c r="H179" s="6" t="s">
        <v>49</v>
      </c>
      <c r="I179" s="6" t="s">
        <v>49</v>
      </c>
      <c r="J179" s="6" t="s">
        <v>437</v>
      </c>
      <c r="K179" s="9">
        <v>0.025</v>
      </c>
      <c r="L179" s="9">
        <v>634</v>
      </c>
      <c r="M179" s="14">
        <v>0.05</v>
      </c>
      <c r="N179" s="9">
        <f t="shared" si="2"/>
        <v>16.6425</v>
      </c>
      <c r="O179" s="6">
        <v>17.45</v>
      </c>
      <c r="P179" s="6" t="s">
        <v>316</v>
      </c>
      <c r="Q179" s="6" t="s">
        <v>769</v>
      </c>
      <c r="R179" s="6" t="s">
        <v>49</v>
      </c>
    </row>
    <row r="180" ht="28.8" spans="1:18">
      <c r="A180" s="6" t="s">
        <v>945</v>
      </c>
      <c r="B180" s="6" t="s">
        <v>328</v>
      </c>
      <c r="C180" s="6" t="s">
        <v>329</v>
      </c>
      <c r="D180" s="6" t="s">
        <v>314</v>
      </c>
      <c r="E180" s="6" t="s">
        <v>693</v>
      </c>
      <c r="F180" s="6" t="s">
        <v>672</v>
      </c>
      <c r="G180" s="6" t="s">
        <v>21</v>
      </c>
      <c r="H180" s="6" t="s">
        <v>49</v>
      </c>
      <c r="I180" s="6" t="s">
        <v>49</v>
      </c>
      <c r="J180" s="6" t="s">
        <v>437</v>
      </c>
      <c r="K180" s="9">
        <v>0.87</v>
      </c>
      <c r="L180" s="9">
        <v>634</v>
      </c>
      <c r="M180" s="14">
        <v>0.05</v>
      </c>
      <c r="N180" s="9">
        <f t="shared" si="2"/>
        <v>579.159</v>
      </c>
      <c r="O180" s="6">
        <v>34.87</v>
      </c>
      <c r="P180" s="6" t="s">
        <v>316</v>
      </c>
      <c r="Q180" s="6" t="s">
        <v>769</v>
      </c>
      <c r="R180" s="6" t="s">
        <v>49</v>
      </c>
    </row>
    <row r="181" ht="28.8" spans="1:18">
      <c r="A181" s="6" t="s">
        <v>946</v>
      </c>
      <c r="B181" s="6" t="s">
        <v>330</v>
      </c>
      <c r="C181" s="6" t="s">
        <v>331</v>
      </c>
      <c r="D181" s="6" t="s">
        <v>319</v>
      </c>
      <c r="E181" s="6" t="s">
        <v>694</v>
      </c>
      <c r="F181" s="6" t="s">
        <v>672</v>
      </c>
      <c r="G181" s="6" t="s">
        <v>21</v>
      </c>
      <c r="H181" s="6" t="s">
        <v>49</v>
      </c>
      <c r="I181" s="6" t="s">
        <v>49</v>
      </c>
      <c r="J181" s="6" t="s">
        <v>437</v>
      </c>
      <c r="K181" s="9">
        <v>0.64</v>
      </c>
      <c r="L181" s="9">
        <v>157</v>
      </c>
      <c r="M181" s="14">
        <v>0.05</v>
      </c>
      <c r="N181" s="9">
        <f t="shared" si="2"/>
        <v>105.504</v>
      </c>
      <c r="O181" s="6">
        <v>110.54</v>
      </c>
      <c r="P181" s="6" t="s">
        <v>49</v>
      </c>
      <c r="Q181" s="6" t="s">
        <v>769</v>
      </c>
      <c r="R181" s="6" t="s">
        <v>49</v>
      </c>
    </row>
    <row r="182" ht="28.8" spans="1:18">
      <c r="A182" s="6" t="s">
        <v>947</v>
      </c>
      <c r="B182" s="6" t="s">
        <v>330</v>
      </c>
      <c r="C182" s="6" t="s">
        <v>331</v>
      </c>
      <c r="D182" s="6" t="s">
        <v>319</v>
      </c>
      <c r="E182" s="6" t="s">
        <v>695</v>
      </c>
      <c r="F182" s="6" t="s">
        <v>674</v>
      </c>
      <c r="G182" s="6" t="s">
        <v>21</v>
      </c>
      <c r="H182" s="6" t="s">
        <v>49</v>
      </c>
      <c r="I182" s="6" t="s">
        <v>49</v>
      </c>
      <c r="J182" s="6" t="s">
        <v>437</v>
      </c>
      <c r="K182" s="9">
        <v>0.025</v>
      </c>
      <c r="L182" s="9">
        <v>157</v>
      </c>
      <c r="M182" s="14">
        <v>0.05</v>
      </c>
      <c r="N182" s="9">
        <f t="shared" si="2"/>
        <v>4.12125</v>
      </c>
      <c r="O182" s="6">
        <v>4.34</v>
      </c>
      <c r="P182" s="6" t="s">
        <v>49</v>
      </c>
      <c r="Q182" s="6" t="s">
        <v>769</v>
      </c>
      <c r="R182" s="6" t="s">
        <v>49</v>
      </c>
    </row>
    <row r="183" ht="28.8" spans="1:18">
      <c r="A183" s="6" t="s">
        <v>948</v>
      </c>
      <c r="B183" s="6" t="s">
        <v>330</v>
      </c>
      <c r="C183" s="6" t="s">
        <v>331</v>
      </c>
      <c r="D183" s="6" t="s">
        <v>319</v>
      </c>
      <c r="E183" s="6" t="s">
        <v>696</v>
      </c>
      <c r="F183" s="6" t="s">
        <v>672</v>
      </c>
      <c r="G183" s="6" t="s">
        <v>21</v>
      </c>
      <c r="H183" s="6" t="s">
        <v>49</v>
      </c>
      <c r="I183" s="6" t="s">
        <v>49</v>
      </c>
      <c r="J183" s="6" t="s">
        <v>437</v>
      </c>
      <c r="K183" s="9">
        <v>0.64</v>
      </c>
      <c r="L183" s="9">
        <v>157</v>
      </c>
      <c r="M183" s="14">
        <v>0.05</v>
      </c>
      <c r="N183" s="9">
        <f t="shared" si="2"/>
        <v>105.504</v>
      </c>
      <c r="O183" s="6">
        <v>8.64</v>
      </c>
      <c r="P183" s="6" t="s">
        <v>49</v>
      </c>
      <c r="Q183" s="6" t="s">
        <v>769</v>
      </c>
      <c r="R183" s="6" t="s">
        <v>49</v>
      </c>
    </row>
    <row r="184" ht="28.8" spans="1:18">
      <c r="A184" s="6" t="s">
        <v>949</v>
      </c>
      <c r="B184" s="6" t="s">
        <v>332</v>
      </c>
      <c r="C184" s="6" t="s">
        <v>333</v>
      </c>
      <c r="D184" s="6" t="s">
        <v>314</v>
      </c>
      <c r="E184" s="6" t="s">
        <v>697</v>
      </c>
      <c r="F184" s="6" t="s">
        <v>672</v>
      </c>
      <c r="G184" s="6" t="s">
        <v>21</v>
      </c>
      <c r="H184" s="6" t="s">
        <v>49</v>
      </c>
      <c r="I184" s="6" t="s">
        <v>49</v>
      </c>
      <c r="J184" s="6" t="s">
        <v>437</v>
      </c>
      <c r="K184" s="9">
        <v>0.86</v>
      </c>
      <c r="L184" s="9">
        <v>2338</v>
      </c>
      <c r="M184" s="14">
        <v>0.05</v>
      </c>
      <c r="N184" s="9">
        <f t="shared" si="2"/>
        <v>2111.214</v>
      </c>
      <c r="O184" s="6">
        <v>2211.76</v>
      </c>
      <c r="P184" s="6" t="s">
        <v>316</v>
      </c>
      <c r="Q184" s="6" t="s">
        <v>769</v>
      </c>
      <c r="R184" s="6" t="s">
        <v>49</v>
      </c>
    </row>
    <row r="185" ht="28.8" spans="1:18">
      <c r="A185" s="6" t="s">
        <v>950</v>
      </c>
      <c r="B185" s="6" t="s">
        <v>332</v>
      </c>
      <c r="C185" s="6" t="s">
        <v>333</v>
      </c>
      <c r="D185" s="6" t="s">
        <v>314</v>
      </c>
      <c r="E185" s="6" t="s">
        <v>698</v>
      </c>
      <c r="F185" s="6" t="s">
        <v>674</v>
      </c>
      <c r="G185" s="6" t="s">
        <v>21</v>
      </c>
      <c r="H185" s="6" t="s">
        <v>49</v>
      </c>
      <c r="I185" s="6" t="s">
        <v>49</v>
      </c>
      <c r="J185" s="6" t="s">
        <v>437</v>
      </c>
      <c r="K185" s="9">
        <v>0.03</v>
      </c>
      <c r="L185" s="9">
        <v>2338</v>
      </c>
      <c r="M185" s="14">
        <v>0.05</v>
      </c>
      <c r="N185" s="9">
        <f t="shared" si="2"/>
        <v>73.647</v>
      </c>
      <c r="O185" s="6">
        <v>77.17</v>
      </c>
      <c r="P185" s="6" t="s">
        <v>316</v>
      </c>
      <c r="Q185" s="6" t="s">
        <v>769</v>
      </c>
      <c r="R185" s="6" t="s">
        <v>49</v>
      </c>
    </row>
    <row r="186" ht="28.8" spans="1:18">
      <c r="A186" s="6" t="s">
        <v>951</v>
      </c>
      <c r="B186" s="6" t="s">
        <v>332</v>
      </c>
      <c r="C186" s="6" t="s">
        <v>333</v>
      </c>
      <c r="D186" s="6" t="s">
        <v>314</v>
      </c>
      <c r="E186" s="6" t="s">
        <v>699</v>
      </c>
      <c r="F186" s="6" t="s">
        <v>672</v>
      </c>
      <c r="G186" s="6" t="s">
        <v>21</v>
      </c>
      <c r="H186" s="6" t="s">
        <v>49</v>
      </c>
      <c r="I186" s="6" t="s">
        <v>49</v>
      </c>
      <c r="J186" s="6" t="s">
        <v>437</v>
      </c>
      <c r="K186" s="9">
        <v>0.86</v>
      </c>
      <c r="L186" s="9">
        <v>2338</v>
      </c>
      <c r="M186" s="14">
        <v>0.05</v>
      </c>
      <c r="N186" s="9">
        <f t="shared" si="2"/>
        <v>2111.214</v>
      </c>
      <c r="O186" s="6">
        <v>128.59</v>
      </c>
      <c r="P186" s="6" t="s">
        <v>316</v>
      </c>
      <c r="Q186" s="6" t="s">
        <v>769</v>
      </c>
      <c r="R186" s="6" t="s">
        <v>49</v>
      </c>
    </row>
    <row r="187" ht="28.8" spans="1:18">
      <c r="A187" s="6" t="s">
        <v>952</v>
      </c>
      <c r="B187" s="6" t="s">
        <v>334</v>
      </c>
      <c r="C187" s="6" t="s">
        <v>335</v>
      </c>
      <c r="D187" s="6" t="s">
        <v>319</v>
      </c>
      <c r="E187" s="6" t="s">
        <v>700</v>
      </c>
      <c r="F187" s="6" t="s">
        <v>672</v>
      </c>
      <c r="G187" s="6" t="s">
        <v>21</v>
      </c>
      <c r="H187" s="6" t="s">
        <v>49</v>
      </c>
      <c r="I187" s="6" t="s">
        <v>49</v>
      </c>
      <c r="J187" s="6" t="s">
        <v>437</v>
      </c>
      <c r="K187" s="9">
        <v>0.64</v>
      </c>
      <c r="L187" s="9">
        <v>330</v>
      </c>
      <c r="M187" s="14">
        <v>0.05</v>
      </c>
      <c r="N187" s="9">
        <f t="shared" si="2"/>
        <v>221.76</v>
      </c>
      <c r="O187" s="6">
        <v>232.34</v>
      </c>
      <c r="P187" s="6" t="s">
        <v>49</v>
      </c>
      <c r="Q187" s="6" t="s">
        <v>769</v>
      </c>
      <c r="R187" s="6" t="s">
        <v>49</v>
      </c>
    </row>
    <row r="188" ht="28.8" spans="1:18">
      <c r="A188" s="6" t="s">
        <v>953</v>
      </c>
      <c r="B188" s="6" t="s">
        <v>334</v>
      </c>
      <c r="C188" s="6" t="s">
        <v>335</v>
      </c>
      <c r="D188" s="6" t="s">
        <v>319</v>
      </c>
      <c r="E188" s="6" t="s">
        <v>701</v>
      </c>
      <c r="F188" s="6" t="s">
        <v>674</v>
      </c>
      <c r="G188" s="6" t="s">
        <v>21</v>
      </c>
      <c r="H188" s="6" t="s">
        <v>49</v>
      </c>
      <c r="I188" s="6" t="s">
        <v>49</v>
      </c>
      <c r="J188" s="6" t="s">
        <v>437</v>
      </c>
      <c r="K188" s="9">
        <v>0.03</v>
      </c>
      <c r="L188" s="9">
        <v>330</v>
      </c>
      <c r="M188" s="14">
        <v>0.05</v>
      </c>
      <c r="N188" s="9">
        <f t="shared" si="2"/>
        <v>10.395</v>
      </c>
      <c r="O188" s="6">
        <v>10.91</v>
      </c>
      <c r="P188" s="6" t="s">
        <v>49</v>
      </c>
      <c r="Q188" s="6" t="s">
        <v>769</v>
      </c>
      <c r="R188" s="6" t="s">
        <v>49</v>
      </c>
    </row>
    <row r="189" ht="28.8" spans="1:18">
      <c r="A189" s="6" t="s">
        <v>954</v>
      </c>
      <c r="B189" s="6" t="s">
        <v>334</v>
      </c>
      <c r="C189" s="6" t="s">
        <v>335</v>
      </c>
      <c r="D189" s="6" t="s">
        <v>319</v>
      </c>
      <c r="E189" s="6" t="s">
        <v>702</v>
      </c>
      <c r="F189" s="6" t="s">
        <v>672</v>
      </c>
      <c r="G189" s="6" t="s">
        <v>21</v>
      </c>
      <c r="H189" s="6" t="s">
        <v>49</v>
      </c>
      <c r="I189" s="6" t="s">
        <v>49</v>
      </c>
      <c r="J189" s="6" t="s">
        <v>437</v>
      </c>
      <c r="K189" s="9">
        <v>0.64</v>
      </c>
      <c r="L189" s="9">
        <v>330</v>
      </c>
      <c r="M189" s="14">
        <v>0.05</v>
      </c>
      <c r="N189" s="9">
        <f t="shared" si="2"/>
        <v>221.76</v>
      </c>
      <c r="O189" s="6">
        <v>18.15</v>
      </c>
      <c r="P189" s="6" t="s">
        <v>49</v>
      </c>
      <c r="Q189" s="6" t="s">
        <v>769</v>
      </c>
      <c r="R189" s="6" t="s">
        <v>49</v>
      </c>
    </row>
    <row r="190" ht="28.8" spans="1:18">
      <c r="A190" s="6" t="s">
        <v>955</v>
      </c>
      <c r="B190" s="6" t="s">
        <v>336</v>
      </c>
      <c r="C190" s="6" t="s">
        <v>337</v>
      </c>
      <c r="D190" s="6" t="s">
        <v>314</v>
      </c>
      <c r="E190" s="6" t="s">
        <v>703</v>
      </c>
      <c r="F190" s="6" t="s">
        <v>672</v>
      </c>
      <c r="G190" s="6" t="s">
        <v>21</v>
      </c>
      <c r="H190" s="6" t="s">
        <v>49</v>
      </c>
      <c r="I190" s="6" t="s">
        <v>49</v>
      </c>
      <c r="J190" s="6" t="s">
        <v>437</v>
      </c>
      <c r="K190" s="9">
        <v>0.86</v>
      </c>
      <c r="L190" s="9">
        <v>886</v>
      </c>
      <c r="M190" s="14">
        <v>0.05</v>
      </c>
      <c r="N190" s="9">
        <f t="shared" si="2"/>
        <v>800.058</v>
      </c>
      <c r="O190" s="6">
        <v>838.17</v>
      </c>
      <c r="P190" s="6" t="s">
        <v>316</v>
      </c>
      <c r="Q190" s="6" t="s">
        <v>769</v>
      </c>
      <c r="R190" s="6" t="s">
        <v>49</v>
      </c>
    </row>
    <row r="191" ht="28.8" spans="1:18">
      <c r="A191" s="6" t="s">
        <v>956</v>
      </c>
      <c r="B191" s="6" t="s">
        <v>336</v>
      </c>
      <c r="C191" s="6" t="s">
        <v>337</v>
      </c>
      <c r="D191" s="6" t="s">
        <v>314</v>
      </c>
      <c r="E191" s="6" t="s">
        <v>704</v>
      </c>
      <c r="F191" s="6" t="s">
        <v>674</v>
      </c>
      <c r="G191" s="6" t="s">
        <v>21</v>
      </c>
      <c r="H191" s="6" t="s">
        <v>49</v>
      </c>
      <c r="I191" s="6" t="s">
        <v>49</v>
      </c>
      <c r="J191" s="6" t="s">
        <v>437</v>
      </c>
      <c r="K191" s="9">
        <v>0.03</v>
      </c>
      <c r="L191" s="9">
        <v>886</v>
      </c>
      <c r="M191" s="14">
        <v>0.05</v>
      </c>
      <c r="N191" s="9">
        <f t="shared" si="2"/>
        <v>27.909</v>
      </c>
      <c r="O191" s="6">
        <v>29.23</v>
      </c>
      <c r="P191" s="6" t="s">
        <v>316</v>
      </c>
      <c r="Q191" s="6" t="s">
        <v>769</v>
      </c>
      <c r="R191" s="6" t="s">
        <v>49</v>
      </c>
    </row>
    <row r="192" ht="28.8" spans="1:18">
      <c r="A192" s="6" t="s">
        <v>957</v>
      </c>
      <c r="B192" s="6" t="s">
        <v>336</v>
      </c>
      <c r="C192" s="6" t="s">
        <v>337</v>
      </c>
      <c r="D192" s="6" t="s">
        <v>314</v>
      </c>
      <c r="E192" s="6" t="s">
        <v>705</v>
      </c>
      <c r="F192" s="6" t="s">
        <v>672</v>
      </c>
      <c r="G192" s="6" t="s">
        <v>21</v>
      </c>
      <c r="H192" s="6" t="s">
        <v>49</v>
      </c>
      <c r="I192" s="6" t="s">
        <v>49</v>
      </c>
      <c r="J192" s="6" t="s">
        <v>437</v>
      </c>
      <c r="K192" s="9">
        <v>0.86</v>
      </c>
      <c r="L192" s="9">
        <v>886</v>
      </c>
      <c r="M192" s="14">
        <v>0.05</v>
      </c>
      <c r="N192" s="9">
        <f t="shared" si="2"/>
        <v>800.058</v>
      </c>
      <c r="O192" s="6">
        <v>48.73</v>
      </c>
      <c r="P192" s="6" t="s">
        <v>316</v>
      </c>
      <c r="Q192" s="6" t="s">
        <v>769</v>
      </c>
      <c r="R192" s="6" t="s">
        <v>49</v>
      </c>
    </row>
    <row r="193" ht="28.8" spans="1:18">
      <c r="A193" s="6" t="s">
        <v>958</v>
      </c>
      <c r="B193" s="6" t="s">
        <v>338</v>
      </c>
      <c r="C193" s="6" t="s">
        <v>339</v>
      </c>
      <c r="D193" s="6" t="s">
        <v>319</v>
      </c>
      <c r="E193" s="6" t="s">
        <v>706</v>
      </c>
      <c r="F193" s="6" t="s">
        <v>672</v>
      </c>
      <c r="G193" s="6" t="s">
        <v>21</v>
      </c>
      <c r="H193" s="6" t="s">
        <v>49</v>
      </c>
      <c r="I193" s="6" t="s">
        <v>49</v>
      </c>
      <c r="J193" s="6" t="s">
        <v>437</v>
      </c>
      <c r="K193" s="9">
        <v>0.64</v>
      </c>
      <c r="L193" s="9">
        <v>252</v>
      </c>
      <c r="M193" s="14">
        <v>0.05</v>
      </c>
      <c r="N193" s="9">
        <f t="shared" si="2"/>
        <v>169.344</v>
      </c>
      <c r="O193" s="6">
        <v>177.43</v>
      </c>
      <c r="P193" s="6" t="s">
        <v>49</v>
      </c>
      <c r="Q193" s="6" t="s">
        <v>769</v>
      </c>
      <c r="R193" s="6" t="s">
        <v>49</v>
      </c>
    </row>
    <row r="194" ht="28.8" spans="1:18">
      <c r="A194" s="6" t="s">
        <v>959</v>
      </c>
      <c r="B194" s="6" t="s">
        <v>338</v>
      </c>
      <c r="C194" s="6" t="s">
        <v>339</v>
      </c>
      <c r="D194" s="6" t="s">
        <v>319</v>
      </c>
      <c r="E194" s="6" t="s">
        <v>707</v>
      </c>
      <c r="F194" s="6" t="s">
        <v>674</v>
      </c>
      <c r="G194" s="6" t="s">
        <v>21</v>
      </c>
      <c r="H194" s="6" t="s">
        <v>49</v>
      </c>
      <c r="I194" s="6" t="s">
        <v>49</v>
      </c>
      <c r="J194" s="6" t="s">
        <v>437</v>
      </c>
      <c r="K194" s="9">
        <v>0.03</v>
      </c>
      <c r="L194" s="9">
        <v>252</v>
      </c>
      <c r="M194" s="14">
        <v>0.05</v>
      </c>
      <c r="N194" s="9">
        <f t="shared" si="2"/>
        <v>7.938</v>
      </c>
      <c r="O194" s="6">
        <v>8.32</v>
      </c>
      <c r="P194" s="6" t="s">
        <v>49</v>
      </c>
      <c r="Q194" s="6" t="s">
        <v>769</v>
      </c>
      <c r="R194" s="6" t="s">
        <v>49</v>
      </c>
    </row>
    <row r="195" ht="28.8" spans="1:18">
      <c r="A195" s="6" t="s">
        <v>960</v>
      </c>
      <c r="B195" s="6" t="s">
        <v>338</v>
      </c>
      <c r="C195" s="6" t="s">
        <v>339</v>
      </c>
      <c r="D195" s="6" t="s">
        <v>319</v>
      </c>
      <c r="E195" s="6" t="s">
        <v>708</v>
      </c>
      <c r="F195" s="6" t="s">
        <v>672</v>
      </c>
      <c r="G195" s="6" t="s">
        <v>21</v>
      </c>
      <c r="H195" s="6" t="s">
        <v>49</v>
      </c>
      <c r="I195" s="6" t="s">
        <v>49</v>
      </c>
      <c r="J195" s="6" t="s">
        <v>437</v>
      </c>
      <c r="K195" s="9">
        <v>0.64</v>
      </c>
      <c r="L195" s="9">
        <v>252</v>
      </c>
      <c r="M195" s="14">
        <v>0.05</v>
      </c>
      <c r="N195" s="9">
        <f t="shared" si="2"/>
        <v>169.344</v>
      </c>
      <c r="O195" s="6">
        <v>13.86</v>
      </c>
      <c r="P195" s="6" t="s">
        <v>49</v>
      </c>
      <c r="Q195" s="6" t="s">
        <v>769</v>
      </c>
      <c r="R195" s="6" t="s">
        <v>49</v>
      </c>
    </row>
    <row r="196" ht="28.8" spans="1:18">
      <c r="A196" s="6" t="s">
        <v>961</v>
      </c>
      <c r="B196" s="6" t="s">
        <v>342</v>
      </c>
      <c r="C196" s="6" t="s">
        <v>343</v>
      </c>
      <c r="D196" s="6" t="s">
        <v>345</v>
      </c>
      <c r="E196" s="6" t="s">
        <v>709</v>
      </c>
      <c r="F196" s="6" t="s">
        <v>710</v>
      </c>
      <c r="G196" s="6" t="s">
        <v>20</v>
      </c>
      <c r="H196" s="6" t="s">
        <v>49</v>
      </c>
      <c r="I196" s="6" t="s">
        <v>49</v>
      </c>
      <c r="J196" s="6" t="s">
        <v>441</v>
      </c>
      <c r="K196" s="9">
        <v>1.52</v>
      </c>
      <c r="L196" s="9">
        <v>101</v>
      </c>
      <c r="M196" s="14">
        <v>0.03</v>
      </c>
      <c r="N196" s="9">
        <f t="shared" si="2"/>
        <v>158.1256</v>
      </c>
      <c r="O196" s="6">
        <v>174</v>
      </c>
      <c r="P196" s="6" t="s">
        <v>49</v>
      </c>
      <c r="Q196" s="6" t="s">
        <v>769</v>
      </c>
      <c r="R196" s="6" t="s">
        <v>49</v>
      </c>
    </row>
    <row r="197" ht="28.8" spans="1:18">
      <c r="A197" s="6" t="s">
        <v>962</v>
      </c>
      <c r="B197" s="6" t="s">
        <v>342</v>
      </c>
      <c r="C197" s="6" t="s">
        <v>343</v>
      </c>
      <c r="D197" s="6" t="s">
        <v>345</v>
      </c>
      <c r="E197" s="6" t="s">
        <v>711</v>
      </c>
      <c r="F197" s="6" t="s">
        <v>712</v>
      </c>
      <c r="G197" s="6" t="s">
        <v>20</v>
      </c>
      <c r="H197" s="6" t="s">
        <v>49</v>
      </c>
      <c r="I197" s="6" t="s">
        <v>49</v>
      </c>
      <c r="J197" s="6" t="s">
        <v>441</v>
      </c>
      <c r="K197" s="9">
        <v>1.52</v>
      </c>
      <c r="L197" s="9">
        <v>101</v>
      </c>
      <c r="M197" s="14">
        <v>0.03</v>
      </c>
      <c r="N197" s="9">
        <f t="shared" ref="N197:N244" si="3">IF(OR(K197="",L197=""),"",K197*L197*(1+M197))</f>
        <v>158.1256</v>
      </c>
      <c r="O197" s="6">
        <v>174</v>
      </c>
      <c r="P197" s="6" t="s">
        <v>49</v>
      </c>
      <c r="Q197" s="6" t="s">
        <v>769</v>
      </c>
      <c r="R197" s="6" t="s">
        <v>49</v>
      </c>
    </row>
    <row r="198" ht="28.8" spans="1:18">
      <c r="A198" s="6" t="s">
        <v>963</v>
      </c>
      <c r="B198" s="6" t="s">
        <v>348</v>
      </c>
      <c r="C198" s="6" t="s">
        <v>349</v>
      </c>
      <c r="D198" s="6" t="s">
        <v>351</v>
      </c>
      <c r="E198" s="6" t="s">
        <v>713</v>
      </c>
      <c r="F198" s="6" t="s">
        <v>710</v>
      </c>
      <c r="G198" s="6" t="s">
        <v>20</v>
      </c>
      <c r="H198" s="6" t="s">
        <v>49</v>
      </c>
      <c r="I198" s="6" t="s">
        <v>49</v>
      </c>
      <c r="J198" s="6" t="s">
        <v>441</v>
      </c>
      <c r="K198" s="9">
        <v>1.14</v>
      </c>
      <c r="L198" s="9">
        <v>847</v>
      </c>
      <c r="M198" s="14">
        <v>0.03</v>
      </c>
      <c r="N198" s="9">
        <f t="shared" si="3"/>
        <v>994.5474</v>
      </c>
      <c r="O198" s="6">
        <v>2009</v>
      </c>
      <c r="P198" s="6" t="s">
        <v>353</v>
      </c>
      <c r="Q198" s="6" t="s">
        <v>769</v>
      </c>
      <c r="R198" s="6" t="s">
        <v>49</v>
      </c>
    </row>
    <row r="199" ht="28.8" spans="1:18">
      <c r="A199" s="6" t="s">
        <v>964</v>
      </c>
      <c r="B199" s="6" t="s">
        <v>348</v>
      </c>
      <c r="C199" s="6" t="s">
        <v>349</v>
      </c>
      <c r="D199" s="6" t="s">
        <v>351</v>
      </c>
      <c r="E199" s="6" t="s">
        <v>714</v>
      </c>
      <c r="F199" s="6" t="s">
        <v>715</v>
      </c>
      <c r="G199" s="6" t="s">
        <v>20</v>
      </c>
      <c r="H199" s="6" t="s">
        <v>49</v>
      </c>
      <c r="I199" s="6" t="s">
        <v>49</v>
      </c>
      <c r="J199" s="6" t="s">
        <v>441</v>
      </c>
      <c r="K199" s="9">
        <v>0.99</v>
      </c>
      <c r="L199" s="9">
        <v>847</v>
      </c>
      <c r="M199" s="14">
        <v>0.03</v>
      </c>
      <c r="N199" s="9">
        <f t="shared" si="3"/>
        <v>863.6859</v>
      </c>
      <c r="O199" s="6">
        <v>2009</v>
      </c>
      <c r="P199" s="6" t="s">
        <v>353</v>
      </c>
      <c r="Q199" s="6" t="s">
        <v>769</v>
      </c>
      <c r="R199" s="6" t="s">
        <v>49</v>
      </c>
    </row>
    <row r="200" ht="28.8" spans="1:18">
      <c r="A200" s="6" t="s">
        <v>965</v>
      </c>
      <c r="B200" s="6" t="s">
        <v>354</v>
      </c>
      <c r="C200" s="6" t="s">
        <v>355</v>
      </c>
      <c r="D200" s="6" t="s">
        <v>357</v>
      </c>
      <c r="E200" s="6" t="s">
        <v>716</v>
      </c>
      <c r="F200" s="6" t="s">
        <v>710</v>
      </c>
      <c r="G200" s="6" t="s">
        <v>20</v>
      </c>
      <c r="H200" s="6" t="s">
        <v>49</v>
      </c>
      <c r="I200" s="6" t="s">
        <v>49</v>
      </c>
      <c r="J200" s="6" t="s">
        <v>441</v>
      </c>
      <c r="K200" s="9">
        <v>1.45</v>
      </c>
      <c r="L200" s="9">
        <v>189</v>
      </c>
      <c r="M200" s="14">
        <v>0.03</v>
      </c>
      <c r="N200" s="9">
        <f t="shared" si="3"/>
        <v>282.2715</v>
      </c>
      <c r="O200" s="6">
        <v>611</v>
      </c>
      <c r="P200" s="6" t="s">
        <v>353</v>
      </c>
      <c r="Q200" s="6" t="s">
        <v>769</v>
      </c>
      <c r="R200" s="6" t="s">
        <v>49</v>
      </c>
    </row>
    <row r="201" ht="28.8" spans="1:18">
      <c r="A201" s="6" t="s">
        <v>966</v>
      </c>
      <c r="B201" s="6" t="s">
        <v>354</v>
      </c>
      <c r="C201" s="6" t="s">
        <v>355</v>
      </c>
      <c r="D201" s="6" t="s">
        <v>357</v>
      </c>
      <c r="E201" s="6" t="s">
        <v>717</v>
      </c>
      <c r="F201" s="6" t="s">
        <v>715</v>
      </c>
      <c r="G201" s="6" t="s">
        <v>20</v>
      </c>
      <c r="H201" s="6" t="s">
        <v>49</v>
      </c>
      <c r="I201" s="6" t="s">
        <v>49</v>
      </c>
      <c r="J201" s="6" t="s">
        <v>441</v>
      </c>
      <c r="K201" s="9">
        <v>1.56</v>
      </c>
      <c r="L201" s="9">
        <v>189</v>
      </c>
      <c r="M201" s="14">
        <v>0.03</v>
      </c>
      <c r="N201" s="9">
        <f t="shared" si="3"/>
        <v>303.6852</v>
      </c>
      <c r="O201" s="6">
        <v>611</v>
      </c>
      <c r="P201" s="6" t="s">
        <v>353</v>
      </c>
      <c r="Q201" s="6" t="s">
        <v>769</v>
      </c>
      <c r="R201" s="6" t="s">
        <v>49</v>
      </c>
    </row>
    <row r="202" ht="28.8" spans="1:18">
      <c r="A202" s="6" t="s">
        <v>967</v>
      </c>
      <c r="B202" s="6" t="s">
        <v>358</v>
      </c>
      <c r="C202" s="6" t="s">
        <v>359</v>
      </c>
      <c r="D202" s="6" t="s">
        <v>357</v>
      </c>
      <c r="E202" s="6" t="s">
        <v>718</v>
      </c>
      <c r="F202" s="6" t="s">
        <v>710</v>
      </c>
      <c r="G202" s="6" t="s">
        <v>20</v>
      </c>
      <c r="H202" s="6" t="s">
        <v>49</v>
      </c>
      <c r="I202" s="6" t="s">
        <v>49</v>
      </c>
      <c r="J202" s="6" t="s">
        <v>441</v>
      </c>
      <c r="K202" s="9">
        <v>1.62</v>
      </c>
      <c r="L202" s="9">
        <v>230</v>
      </c>
      <c r="M202" s="14">
        <v>0.03</v>
      </c>
      <c r="N202" s="9">
        <f t="shared" si="3"/>
        <v>383.778</v>
      </c>
      <c r="O202" s="6">
        <v>798</v>
      </c>
      <c r="P202" s="6" t="s">
        <v>353</v>
      </c>
      <c r="Q202" s="6" t="s">
        <v>769</v>
      </c>
      <c r="R202" s="6" t="s">
        <v>49</v>
      </c>
    </row>
    <row r="203" ht="28.8" spans="1:18">
      <c r="A203" s="6" t="s">
        <v>968</v>
      </c>
      <c r="B203" s="6" t="s">
        <v>358</v>
      </c>
      <c r="C203" s="6" t="s">
        <v>359</v>
      </c>
      <c r="D203" s="6" t="s">
        <v>357</v>
      </c>
      <c r="E203" s="6" t="s">
        <v>719</v>
      </c>
      <c r="F203" s="6" t="s">
        <v>715</v>
      </c>
      <c r="G203" s="6" t="s">
        <v>20</v>
      </c>
      <c r="H203" s="6" t="s">
        <v>49</v>
      </c>
      <c r="I203" s="6" t="s">
        <v>49</v>
      </c>
      <c r="J203" s="6" t="s">
        <v>441</v>
      </c>
      <c r="K203" s="9">
        <v>1.56</v>
      </c>
      <c r="L203" s="9">
        <v>230</v>
      </c>
      <c r="M203" s="14">
        <v>0.03</v>
      </c>
      <c r="N203" s="9">
        <f t="shared" si="3"/>
        <v>369.564</v>
      </c>
      <c r="O203" s="6">
        <v>798</v>
      </c>
      <c r="P203" s="6" t="s">
        <v>353</v>
      </c>
      <c r="Q203" s="6" t="s">
        <v>769</v>
      </c>
      <c r="R203" s="6" t="s">
        <v>49</v>
      </c>
    </row>
    <row r="204" ht="28.8" spans="1:18">
      <c r="A204" s="6" t="s">
        <v>969</v>
      </c>
      <c r="B204" s="6" t="s">
        <v>360</v>
      </c>
      <c r="C204" s="6" t="s">
        <v>361</v>
      </c>
      <c r="D204" s="6" t="s">
        <v>363</v>
      </c>
      <c r="E204" s="6" t="s">
        <v>720</v>
      </c>
      <c r="F204" s="6" t="s">
        <v>710</v>
      </c>
      <c r="G204" s="6" t="s">
        <v>20</v>
      </c>
      <c r="H204" s="6" t="s">
        <v>49</v>
      </c>
      <c r="I204" s="6" t="s">
        <v>49</v>
      </c>
      <c r="J204" s="6" t="s">
        <v>441</v>
      </c>
      <c r="K204" s="9">
        <v>1.45</v>
      </c>
      <c r="L204" s="9">
        <v>189</v>
      </c>
      <c r="M204" s="14">
        <v>0.03</v>
      </c>
      <c r="N204" s="9">
        <f t="shared" si="3"/>
        <v>282.2715</v>
      </c>
      <c r="O204" s="6">
        <v>611</v>
      </c>
      <c r="P204" s="6" t="s">
        <v>353</v>
      </c>
      <c r="Q204" s="6" t="s">
        <v>769</v>
      </c>
      <c r="R204" s="6" t="s">
        <v>49</v>
      </c>
    </row>
    <row r="205" ht="28.8" spans="1:18">
      <c r="A205" s="6" t="s">
        <v>970</v>
      </c>
      <c r="B205" s="6" t="s">
        <v>360</v>
      </c>
      <c r="C205" s="6" t="s">
        <v>361</v>
      </c>
      <c r="D205" s="6" t="s">
        <v>363</v>
      </c>
      <c r="E205" s="6" t="s">
        <v>721</v>
      </c>
      <c r="F205" s="6" t="s">
        <v>715</v>
      </c>
      <c r="G205" s="6" t="s">
        <v>20</v>
      </c>
      <c r="H205" s="6" t="s">
        <v>49</v>
      </c>
      <c r="I205" s="6" t="s">
        <v>49</v>
      </c>
      <c r="J205" s="6" t="s">
        <v>441</v>
      </c>
      <c r="K205" s="9">
        <v>1.56</v>
      </c>
      <c r="L205" s="9">
        <v>189</v>
      </c>
      <c r="M205" s="14">
        <v>0.03</v>
      </c>
      <c r="N205" s="9">
        <f t="shared" si="3"/>
        <v>303.6852</v>
      </c>
      <c r="O205" s="6">
        <v>611</v>
      </c>
      <c r="P205" s="6" t="s">
        <v>353</v>
      </c>
      <c r="Q205" s="6" t="s">
        <v>769</v>
      </c>
      <c r="R205" s="6" t="s">
        <v>49</v>
      </c>
    </row>
    <row r="206" ht="28.8" spans="1:18">
      <c r="A206" s="6" t="s">
        <v>971</v>
      </c>
      <c r="B206" s="6" t="s">
        <v>364</v>
      </c>
      <c r="C206" s="6" t="s">
        <v>365</v>
      </c>
      <c r="D206" s="6" t="s">
        <v>367</v>
      </c>
      <c r="E206" s="6" t="s">
        <v>722</v>
      </c>
      <c r="F206" s="6" t="s">
        <v>710</v>
      </c>
      <c r="G206" s="6" t="s">
        <v>20</v>
      </c>
      <c r="H206" s="6" t="s">
        <v>49</v>
      </c>
      <c r="I206" s="6" t="s">
        <v>49</v>
      </c>
      <c r="J206" s="6" t="s">
        <v>441</v>
      </c>
      <c r="K206" s="9">
        <v>1.14</v>
      </c>
      <c r="L206" s="9">
        <v>847</v>
      </c>
      <c r="M206" s="14">
        <v>0.03</v>
      </c>
      <c r="N206" s="9">
        <f t="shared" si="3"/>
        <v>994.5474</v>
      </c>
      <c r="O206" s="6">
        <v>2009</v>
      </c>
      <c r="P206" s="6" t="s">
        <v>353</v>
      </c>
      <c r="Q206" s="6" t="s">
        <v>769</v>
      </c>
      <c r="R206" s="6" t="s">
        <v>49</v>
      </c>
    </row>
    <row r="207" ht="28.8" spans="1:18">
      <c r="A207" s="6" t="s">
        <v>972</v>
      </c>
      <c r="B207" s="6" t="s">
        <v>364</v>
      </c>
      <c r="C207" s="6" t="s">
        <v>365</v>
      </c>
      <c r="D207" s="6" t="s">
        <v>367</v>
      </c>
      <c r="E207" s="6" t="s">
        <v>723</v>
      </c>
      <c r="F207" s="6" t="s">
        <v>715</v>
      </c>
      <c r="G207" s="6" t="s">
        <v>20</v>
      </c>
      <c r="H207" s="6" t="s">
        <v>49</v>
      </c>
      <c r="I207" s="6" t="s">
        <v>49</v>
      </c>
      <c r="J207" s="6" t="s">
        <v>441</v>
      </c>
      <c r="K207" s="9">
        <v>0.99</v>
      </c>
      <c r="L207" s="9">
        <v>847</v>
      </c>
      <c r="M207" s="14">
        <v>0.03</v>
      </c>
      <c r="N207" s="9">
        <f t="shared" si="3"/>
        <v>863.6859</v>
      </c>
      <c r="O207" s="6">
        <v>2009</v>
      </c>
      <c r="P207" s="6" t="s">
        <v>353</v>
      </c>
      <c r="Q207" s="6" t="s">
        <v>769</v>
      </c>
      <c r="R207" s="6" t="s">
        <v>49</v>
      </c>
    </row>
    <row r="208" ht="28.8" spans="1:18">
      <c r="A208" s="6" t="s">
        <v>973</v>
      </c>
      <c r="B208" s="6" t="s">
        <v>368</v>
      </c>
      <c r="C208" s="6" t="s">
        <v>369</v>
      </c>
      <c r="D208" s="6" t="s">
        <v>363</v>
      </c>
      <c r="E208" s="6" t="s">
        <v>724</v>
      </c>
      <c r="F208" s="6" t="s">
        <v>710</v>
      </c>
      <c r="G208" s="6" t="s">
        <v>20</v>
      </c>
      <c r="H208" s="6" t="s">
        <v>49</v>
      </c>
      <c r="I208" s="6" t="s">
        <v>49</v>
      </c>
      <c r="J208" s="6" t="s">
        <v>441</v>
      </c>
      <c r="K208" s="9">
        <v>1.62</v>
      </c>
      <c r="L208" s="9">
        <v>230</v>
      </c>
      <c r="M208" s="14">
        <v>0.03</v>
      </c>
      <c r="N208" s="9">
        <f t="shared" si="3"/>
        <v>383.778</v>
      </c>
      <c r="O208" s="6">
        <v>798</v>
      </c>
      <c r="P208" s="6" t="s">
        <v>353</v>
      </c>
      <c r="Q208" s="6" t="s">
        <v>769</v>
      </c>
      <c r="R208" s="6" t="s">
        <v>49</v>
      </c>
    </row>
    <row r="209" ht="28.8" spans="1:18">
      <c r="A209" s="6" t="s">
        <v>974</v>
      </c>
      <c r="B209" s="6" t="s">
        <v>368</v>
      </c>
      <c r="C209" s="6" t="s">
        <v>369</v>
      </c>
      <c r="D209" s="6" t="s">
        <v>363</v>
      </c>
      <c r="E209" s="6" t="s">
        <v>725</v>
      </c>
      <c r="F209" s="6" t="s">
        <v>715</v>
      </c>
      <c r="G209" s="6" t="s">
        <v>20</v>
      </c>
      <c r="H209" s="6" t="s">
        <v>49</v>
      </c>
      <c r="I209" s="6" t="s">
        <v>49</v>
      </c>
      <c r="J209" s="6" t="s">
        <v>441</v>
      </c>
      <c r="K209" s="9">
        <v>1.56</v>
      </c>
      <c r="L209" s="9">
        <v>230</v>
      </c>
      <c r="M209" s="14">
        <v>0.03</v>
      </c>
      <c r="N209" s="9">
        <f t="shared" si="3"/>
        <v>369.564</v>
      </c>
      <c r="O209" s="6">
        <v>798</v>
      </c>
      <c r="P209" s="6" t="s">
        <v>353</v>
      </c>
      <c r="Q209" s="6" t="s">
        <v>769</v>
      </c>
      <c r="R209" s="6" t="s">
        <v>49</v>
      </c>
    </row>
    <row r="210" ht="28.8" spans="1:18">
      <c r="A210" s="6" t="s">
        <v>975</v>
      </c>
      <c r="B210" s="6" t="s">
        <v>371</v>
      </c>
      <c r="C210" s="6" t="s">
        <v>372</v>
      </c>
      <c r="D210" s="6" t="s">
        <v>131</v>
      </c>
      <c r="E210" s="6" t="s">
        <v>726</v>
      </c>
      <c r="F210" s="6" t="s">
        <v>478</v>
      </c>
      <c r="G210" s="6" t="s">
        <v>21</v>
      </c>
      <c r="H210" s="6" t="s">
        <v>49</v>
      </c>
      <c r="I210" s="6" t="s">
        <v>49</v>
      </c>
      <c r="J210" s="6" t="s">
        <v>437</v>
      </c>
      <c r="K210" s="9">
        <v>0.74</v>
      </c>
      <c r="L210" s="9">
        <v>1200</v>
      </c>
      <c r="M210" s="14">
        <v>0.05</v>
      </c>
      <c r="N210" s="9">
        <f t="shared" si="3"/>
        <v>932.4</v>
      </c>
      <c r="O210" s="6">
        <v>651.2</v>
      </c>
      <c r="P210" s="6" t="s">
        <v>49</v>
      </c>
      <c r="Q210" s="6" t="s">
        <v>769</v>
      </c>
      <c r="R210" s="6" t="s">
        <v>49</v>
      </c>
    </row>
    <row r="211" ht="28.8" spans="1:18">
      <c r="A211" s="6" t="s">
        <v>976</v>
      </c>
      <c r="B211" s="6" t="s">
        <v>371</v>
      </c>
      <c r="C211" s="6" t="s">
        <v>372</v>
      </c>
      <c r="D211" s="6" t="s">
        <v>131</v>
      </c>
      <c r="E211" s="6" t="s">
        <v>727</v>
      </c>
      <c r="F211" s="6" t="s">
        <v>480</v>
      </c>
      <c r="G211" s="6" t="s">
        <v>21</v>
      </c>
      <c r="H211" s="6" t="s">
        <v>49</v>
      </c>
      <c r="I211" s="6" t="s">
        <v>49</v>
      </c>
      <c r="J211" s="6" t="s">
        <v>437</v>
      </c>
      <c r="K211" s="9">
        <v>0.03</v>
      </c>
      <c r="L211" s="9">
        <v>1200</v>
      </c>
      <c r="M211" s="14">
        <v>0.05</v>
      </c>
      <c r="N211" s="9">
        <f t="shared" si="3"/>
        <v>37.8</v>
      </c>
      <c r="O211" s="6">
        <v>26.4</v>
      </c>
      <c r="P211" s="6" t="s">
        <v>49</v>
      </c>
      <c r="Q211" s="6" t="s">
        <v>769</v>
      </c>
      <c r="R211" s="6" t="s">
        <v>49</v>
      </c>
    </row>
    <row r="212" ht="28.8" spans="1:18">
      <c r="A212" s="6" t="s">
        <v>977</v>
      </c>
      <c r="B212" s="6" t="s">
        <v>374</v>
      </c>
      <c r="C212" s="6" t="s">
        <v>375</v>
      </c>
      <c r="D212" s="6" t="s">
        <v>376</v>
      </c>
      <c r="E212" s="6" t="s">
        <v>728</v>
      </c>
      <c r="F212" s="6" t="s">
        <v>729</v>
      </c>
      <c r="G212" s="6" t="s">
        <v>21</v>
      </c>
      <c r="H212" s="6" t="s">
        <v>49</v>
      </c>
      <c r="I212" s="6" t="s">
        <v>49</v>
      </c>
      <c r="J212" s="6" t="s">
        <v>437</v>
      </c>
      <c r="K212" s="9">
        <v>0.72</v>
      </c>
      <c r="L212" s="9">
        <v>590</v>
      </c>
      <c r="M212" s="14">
        <v>0.05</v>
      </c>
      <c r="N212" s="9">
        <f t="shared" si="3"/>
        <v>446.04</v>
      </c>
      <c r="O212" s="6">
        <v>467.28</v>
      </c>
      <c r="P212" s="6" t="s">
        <v>49</v>
      </c>
      <c r="Q212" s="6" t="s">
        <v>769</v>
      </c>
      <c r="R212" s="6" t="s">
        <v>49</v>
      </c>
    </row>
    <row r="213" ht="28.8" spans="1:18">
      <c r="A213" s="6" t="s">
        <v>978</v>
      </c>
      <c r="B213" s="6" t="s">
        <v>374</v>
      </c>
      <c r="C213" s="6" t="s">
        <v>375</v>
      </c>
      <c r="D213" s="6" t="s">
        <v>376</v>
      </c>
      <c r="E213" s="6" t="s">
        <v>730</v>
      </c>
      <c r="F213" s="6" t="s">
        <v>731</v>
      </c>
      <c r="G213" s="6" t="s">
        <v>21</v>
      </c>
      <c r="H213" s="6" t="s">
        <v>49</v>
      </c>
      <c r="I213" s="6" t="s">
        <v>49</v>
      </c>
      <c r="J213" s="6" t="s">
        <v>437</v>
      </c>
      <c r="K213" s="9">
        <v>0.19</v>
      </c>
      <c r="L213" s="9">
        <v>590</v>
      </c>
      <c r="M213" s="14">
        <v>0.05</v>
      </c>
      <c r="N213" s="9">
        <f t="shared" si="3"/>
        <v>117.705</v>
      </c>
      <c r="O213" s="6">
        <v>123.32</v>
      </c>
      <c r="P213" s="6" t="s">
        <v>49</v>
      </c>
      <c r="Q213" s="6" t="s">
        <v>769</v>
      </c>
      <c r="R213" s="6" t="s">
        <v>49</v>
      </c>
    </row>
    <row r="214" ht="28.8" spans="1:18">
      <c r="A214" s="6" t="s">
        <v>979</v>
      </c>
      <c r="B214" s="6" t="s">
        <v>374</v>
      </c>
      <c r="C214" s="6" t="s">
        <v>375</v>
      </c>
      <c r="D214" s="6" t="s">
        <v>376</v>
      </c>
      <c r="E214" s="6" t="s">
        <v>732</v>
      </c>
      <c r="F214" s="6" t="s">
        <v>733</v>
      </c>
      <c r="G214" s="6" t="s">
        <v>21</v>
      </c>
      <c r="H214" s="6" t="s">
        <v>49</v>
      </c>
      <c r="I214" s="6" t="s">
        <v>49</v>
      </c>
      <c r="J214" s="6" t="s">
        <v>437</v>
      </c>
      <c r="K214" s="9">
        <v>0.72</v>
      </c>
      <c r="L214" s="9">
        <v>590</v>
      </c>
      <c r="M214" s="14">
        <v>0.05</v>
      </c>
      <c r="N214" s="9">
        <f t="shared" si="3"/>
        <v>446.04</v>
      </c>
      <c r="O214" s="6">
        <v>467.28</v>
      </c>
      <c r="P214" s="6" t="s">
        <v>49</v>
      </c>
      <c r="Q214" s="6" t="s">
        <v>769</v>
      </c>
      <c r="R214" s="6" t="s">
        <v>49</v>
      </c>
    </row>
    <row r="215" ht="28.8" spans="1:18">
      <c r="A215" s="6" t="s">
        <v>980</v>
      </c>
      <c r="B215" s="6" t="s">
        <v>374</v>
      </c>
      <c r="C215" s="6" t="s">
        <v>375</v>
      </c>
      <c r="D215" s="6" t="s">
        <v>376</v>
      </c>
      <c r="E215" s="6" t="s">
        <v>734</v>
      </c>
      <c r="F215" s="6" t="s">
        <v>735</v>
      </c>
      <c r="G215" s="6" t="s">
        <v>21</v>
      </c>
      <c r="H215" s="6" t="s">
        <v>49</v>
      </c>
      <c r="I215" s="6" t="s">
        <v>49</v>
      </c>
      <c r="J215" s="6" t="s">
        <v>437</v>
      </c>
      <c r="K215" s="9">
        <v>0.72</v>
      </c>
      <c r="L215" s="9">
        <v>590</v>
      </c>
      <c r="M215" s="14">
        <v>0.05</v>
      </c>
      <c r="N215" s="9">
        <f t="shared" si="3"/>
        <v>446.04</v>
      </c>
      <c r="O215" s="6">
        <v>467.28</v>
      </c>
      <c r="P215" s="6" t="s">
        <v>49</v>
      </c>
      <c r="Q215" s="6" t="s">
        <v>769</v>
      </c>
      <c r="R215" s="6" t="s">
        <v>49</v>
      </c>
    </row>
    <row r="216" ht="28.8" spans="1:18">
      <c r="A216" s="6" t="s">
        <v>981</v>
      </c>
      <c r="B216" s="6" t="s">
        <v>378</v>
      </c>
      <c r="C216" s="6" t="s">
        <v>379</v>
      </c>
      <c r="D216" s="6" t="s">
        <v>381</v>
      </c>
      <c r="E216" s="6" t="s">
        <v>736</v>
      </c>
      <c r="F216" s="6" t="s">
        <v>382</v>
      </c>
      <c r="G216" s="6" t="s">
        <v>21</v>
      </c>
      <c r="H216" s="6" t="s">
        <v>49</v>
      </c>
      <c r="I216" s="6" t="s">
        <v>49</v>
      </c>
      <c r="J216" s="6" t="s">
        <v>437</v>
      </c>
      <c r="K216" s="9">
        <v>1.22</v>
      </c>
      <c r="L216" s="9">
        <v>1000</v>
      </c>
      <c r="M216" s="14">
        <v>0.05</v>
      </c>
      <c r="N216" s="9">
        <f t="shared" si="3"/>
        <v>1281</v>
      </c>
      <c r="O216" s="6">
        <v>1342</v>
      </c>
      <c r="P216" s="6" t="s">
        <v>49</v>
      </c>
      <c r="Q216" s="6" t="s">
        <v>769</v>
      </c>
      <c r="R216" s="6" t="s">
        <v>49</v>
      </c>
    </row>
    <row r="217" ht="28.8" spans="1:18">
      <c r="A217" s="6" t="s">
        <v>982</v>
      </c>
      <c r="B217" s="6" t="s">
        <v>385</v>
      </c>
      <c r="C217" s="6" t="s">
        <v>386</v>
      </c>
      <c r="D217" s="6" t="s">
        <v>387</v>
      </c>
      <c r="E217" s="6" t="s">
        <v>737</v>
      </c>
      <c r="F217" s="6" t="s">
        <v>388</v>
      </c>
      <c r="G217" s="6" t="s">
        <v>21</v>
      </c>
      <c r="H217" s="6" t="s">
        <v>49</v>
      </c>
      <c r="I217" s="6" t="s">
        <v>49</v>
      </c>
      <c r="J217" s="6" t="s">
        <v>437</v>
      </c>
      <c r="K217" s="9">
        <v>0.88</v>
      </c>
      <c r="L217" s="9">
        <v>4000</v>
      </c>
      <c r="M217" s="14">
        <v>0.05</v>
      </c>
      <c r="N217" s="9">
        <f t="shared" si="3"/>
        <v>3696</v>
      </c>
      <c r="O217" s="6">
        <v>3696</v>
      </c>
      <c r="P217" s="6" t="s">
        <v>389</v>
      </c>
      <c r="Q217" s="6" t="s">
        <v>769</v>
      </c>
      <c r="R217" s="6" t="s">
        <v>49</v>
      </c>
    </row>
    <row r="218" ht="28.8" spans="1:18">
      <c r="A218" s="6" t="s">
        <v>983</v>
      </c>
      <c r="B218" s="6" t="s">
        <v>394</v>
      </c>
      <c r="C218" s="6" t="s">
        <v>395</v>
      </c>
      <c r="D218" s="6" t="s">
        <v>397</v>
      </c>
      <c r="E218" s="6" t="s">
        <v>738</v>
      </c>
      <c r="F218" s="6" t="s">
        <v>398</v>
      </c>
      <c r="G218" s="6" t="s">
        <v>21</v>
      </c>
      <c r="H218" s="6" t="s">
        <v>49</v>
      </c>
      <c r="I218" s="6" t="s">
        <v>49</v>
      </c>
      <c r="J218" s="6" t="s">
        <v>437</v>
      </c>
      <c r="K218" s="9">
        <v>0.7</v>
      </c>
      <c r="L218" s="9">
        <v>2700</v>
      </c>
      <c r="M218" s="14">
        <v>0.05</v>
      </c>
      <c r="N218" s="9">
        <f t="shared" si="3"/>
        <v>1984.5</v>
      </c>
      <c r="O218" s="6">
        <v>2041.2</v>
      </c>
      <c r="P218" s="6" t="s">
        <v>49</v>
      </c>
      <c r="Q218" s="6" t="s">
        <v>769</v>
      </c>
      <c r="R218" s="6" t="s">
        <v>49</v>
      </c>
    </row>
    <row r="219" ht="28.8" spans="1:18">
      <c r="A219" s="6" t="s">
        <v>984</v>
      </c>
      <c r="B219" s="6" t="s">
        <v>394</v>
      </c>
      <c r="C219" s="6" t="s">
        <v>395</v>
      </c>
      <c r="D219" s="6" t="s">
        <v>397</v>
      </c>
      <c r="E219" s="6" t="s">
        <v>739</v>
      </c>
      <c r="F219" s="6" t="s">
        <v>398</v>
      </c>
      <c r="G219" s="6" t="s">
        <v>21</v>
      </c>
      <c r="H219" s="6" t="s">
        <v>49</v>
      </c>
      <c r="I219" s="6" t="s">
        <v>49</v>
      </c>
      <c r="J219" s="6" t="s">
        <v>437</v>
      </c>
      <c r="K219" s="9">
        <v>0.018</v>
      </c>
      <c r="L219" s="9">
        <v>2700</v>
      </c>
      <c r="M219" s="14">
        <v>0.05</v>
      </c>
      <c r="N219" s="9">
        <f t="shared" si="3"/>
        <v>51.03</v>
      </c>
      <c r="O219" s="6">
        <v>2041.2</v>
      </c>
      <c r="P219" s="6" t="s">
        <v>49</v>
      </c>
      <c r="Q219" s="6" t="s">
        <v>769</v>
      </c>
      <c r="R219" s="6" t="s">
        <v>49</v>
      </c>
    </row>
    <row r="220" ht="28.8" spans="1:18">
      <c r="A220" s="6" t="s">
        <v>985</v>
      </c>
      <c r="B220" s="6" t="s">
        <v>399</v>
      </c>
      <c r="C220" s="6" t="s">
        <v>400</v>
      </c>
      <c r="D220" s="6" t="s">
        <v>401</v>
      </c>
      <c r="E220" s="6" t="s">
        <v>740</v>
      </c>
      <c r="F220" s="6" t="s">
        <v>398</v>
      </c>
      <c r="G220" s="6" t="s">
        <v>21</v>
      </c>
      <c r="H220" s="6" t="s">
        <v>49</v>
      </c>
      <c r="I220" s="6" t="s">
        <v>49</v>
      </c>
      <c r="J220" s="6" t="s">
        <v>437</v>
      </c>
      <c r="K220" s="9">
        <v>0.7</v>
      </c>
      <c r="L220" s="9">
        <v>1380</v>
      </c>
      <c r="M220" s="14">
        <v>0.05</v>
      </c>
      <c r="N220" s="9">
        <f t="shared" si="3"/>
        <v>1014.3</v>
      </c>
      <c r="O220" s="6">
        <v>1043.28</v>
      </c>
      <c r="P220" s="6" t="s">
        <v>49</v>
      </c>
      <c r="Q220" s="6" t="s">
        <v>769</v>
      </c>
      <c r="R220" s="6" t="s">
        <v>49</v>
      </c>
    </row>
    <row r="221" ht="28.8" spans="1:18">
      <c r="A221" s="6" t="s">
        <v>986</v>
      </c>
      <c r="B221" s="6" t="s">
        <v>399</v>
      </c>
      <c r="C221" s="6" t="s">
        <v>400</v>
      </c>
      <c r="D221" s="6" t="s">
        <v>401</v>
      </c>
      <c r="E221" s="6" t="s">
        <v>741</v>
      </c>
      <c r="F221" s="6" t="s">
        <v>398</v>
      </c>
      <c r="G221" s="6" t="s">
        <v>21</v>
      </c>
      <c r="H221" s="6" t="s">
        <v>49</v>
      </c>
      <c r="I221" s="6" t="s">
        <v>49</v>
      </c>
      <c r="J221" s="6" t="s">
        <v>437</v>
      </c>
      <c r="K221" s="9">
        <v>0.018</v>
      </c>
      <c r="L221" s="9">
        <v>1380</v>
      </c>
      <c r="M221" s="14">
        <v>0.05</v>
      </c>
      <c r="N221" s="9">
        <f t="shared" si="3"/>
        <v>26.082</v>
      </c>
      <c r="O221" s="6">
        <v>1043.28</v>
      </c>
      <c r="P221" s="6" t="s">
        <v>49</v>
      </c>
      <c r="Q221" s="6" t="s">
        <v>769</v>
      </c>
      <c r="R221" s="6" t="s">
        <v>49</v>
      </c>
    </row>
    <row r="222" ht="28.8" spans="1:18">
      <c r="A222" s="6" t="s">
        <v>987</v>
      </c>
      <c r="B222" s="6" t="s">
        <v>403</v>
      </c>
      <c r="C222" s="6" t="s">
        <v>404</v>
      </c>
      <c r="D222" s="6" t="s">
        <v>406</v>
      </c>
      <c r="E222" s="6" t="s">
        <v>742</v>
      </c>
      <c r="F222" s="6" t="s">
        <v>743</v>
      </c>
      <c r="G222" s="6" t="s">
        <v>21</v>
      </c>
      <c r="H222" s="6" t="s">
        <v>49</v>
      </c>
      <c r="I222" s="6" t="s">
        <v>49</v>
      </c>
      <c r="J222" s="6" t="s">
        <v>437</v>
      </c>
      <c r="K222" s="9">
        <v>1.09</v>
      </c>
      <c r="L222" s="9">
        <v>388</v>
      </c>
      <c r="M222" s="14">
        <v>0.05</v>
      </c>
      <c r="N222" s="9">
        <f t="shared" si="3"/>
        <v>444.066</v>
      </c>
      <c r="O222" s="6">
        <v>465.23</v>
      </c>
      <c r="P222" s="6" t="s">
        <v>49</v>
      </c>
      <c r="Q222" s="6" t="s">
        <v>769</v>
      </c>
      <c r="R222" s="6" t="s">
        <v>49</v>
      </c>
    </row>
    <row r="223" ht="28.8" spans="1:18">
      <c r="A223" s="6" t="s">
        <v>988</v>
      </c>
      <c r="B223" s="6" t="s">
        <v>403</v>
      </c>
      <c r="C223" s="6" t="s">
        <v>404</v>
      </c>
      <c r="D223" s="6" t="s">
        <v>406</v>
      </c>
      <c r="E223" s="6" t="s">
        <v>744</v>
      </c>
      <c r="F223" s="6" t="s">
        <v>745</v>
      </c>
      <c r="G223" s="6" t="s">
        <v>21</v>
      </c>
      <c r="H223" s="6" t="s">
        <v>49</v>
      </c>
      <c r="I223" s="6" t="s">
        <v>49</v>
      </c>
      <c r="J223" s="6" t="s">
        <v>437</v>
      </c>
      <c r="K223" s="9">
        <v>0.02</v>
      </c>
      <c r="L223" s="9">
        <v>388</v>
      </c>
      <c r="M223" s="14">
        <v>0.05</v>
      </c>
      <c r="N223" s="9">
        <f t="shared" si="3"/>
        <v>8.148</v>
      </c>
      <c r="O223" s="6">
        <v>8.54</v>
      </c>
      <c r="P223" s="6" t="s">
        <v>49</v>
      </c>
      <c r="Q223" s="6" t="s">
        <v>769</v>
      </c>
      <c r="R223" s="6" t="s">
        <v>49</v>
      </c>
    </row>
    <row r="224" ht="28.8" spans="1:18">
      <c r="A224" s="6" t="s">
        <v>989</v>
      </c>
      <c r="B224" s="6" t="s">
        <v>408</v>
      </c>
      <c r="C224" s="6" t="s">
        <v>409</v>
      </c>
      <c r="D224" s="6" t="s">
        <v>411</v>
      </c>
      <c r="E224" s="6" t="s">
        <v>746</v>
      </c>
      <c r="F224" s="6" t="s">
        <v>743</v>
      </c>
      <c r="G224" s="6" t="s">
        <v>21</v>
      </c>
      <c r="H224" s="6" t="s">
        <v>49</v>
      </c>
      <c r="I224" s="6" t="s">
        <v>49</v>
      </c>
      <c r="J224" s="6" t="s">
        <v>437</v>
      </c>
      <c r="K224" s="9">
        <v>1.13</v>
      </c>
      <c r="L224" s="9">
        <v>226</v>
      </c>
      <c r="M224" s="14">
        <v>0.05</v>
      </c>
      <c r="N224" s="9">
        <f t="shared" si="3"/>
        <v>268.149</v>
      </c>
      <c r="O224" s="6">
        <v>280.93</v>
      </c>
      <c r="P224" s="6" t="s">
        <v>49</v>
      </c>
      <c r="Q224" s="6" t="s">
        <v>769</v>
      </c>
      <c r="R224" s="6" t="s">
        <v>49</v>
      </c>
    </row>
    <row r="225" ht="28.8" spans="1:18">
      <c r="A225" s="6" t="s">
        <v>990</v>
      </c>
      <c r="B225" s="6" t="s">
        <v>408</v>
      </c>
      <c r="C225" s="6" t="s">
        <v>409</v>
      </c>
      <c r="D225" s="6" t="s">
        <v>411</v>
      </c>
      <c r="E225" s="6" t="s">
        <v>747</v>
      </c>
      <c r="F225" s="6" t="s">
        <v>748</v>
      </c>
      <c r="G225" s="6" t="s">
        <v>21</v>
      </c>
      <c r="H225" s="6" t="s">
        <v>49</v>
      </c>
      <c r="I225" s="6" t="s">
        <v>49</v>
      </c>
      <c r="J225" s="6" t="s">
        <v>437</v>
      </c>
      <c r="K225" s="9">
        <v>0.28</v>
      </c>
      <c r="L225" s="9">
        <v>226</v>
      </c>
      <c r="M225" s="14">
        <v>0.05</v>
      </c>
      <c r="N225" s="9">
        <f t="shared" si="3"/>
        <v>66.444</v>
      </c>
      <c r="O225" s="6">
        <v>69.62</v>
      </c>
      <c r="P225" s="6" t="s">
        <v>49</v>
      </c>
      <c r="Q225" s="6" t="s">
        <v>769</v>
      </c>
      <c r="R225" s="6" t="s">
        <v>49</v>
      </c>
    </row>
    <row r="226" ht="28.8" spans="1:18">
      <c r="A226" s="6" t="s">
        <v>991</v>
      </c>
      <c r="B226" s="6" t="s">
        <v>408</v>
      </c>
      <c r="C226" s="6" t="s">
        <v>409</v>
      </c>
      <c r="D226" s="6" t="s">
        <v>411</v>
      </c>
      <c r="E226" s="6" t="s">
        <v>749</v>
      </c>
      <c r="F226" s="6" t="s">
        <v>745</v>
      </c>
      <c r="G226" s="6" t="s">
        <v>21</v>
      </c>
      <c r="H226" s="6" t="s">
        <v>49</v>
      </c>
      <c r="I226" s="6" t="s">
        <v>49</v>
      </c>
      <c r="J226" s="6" t="s">
        <v>437</v>
      </c>
      <c r="K226" s="9">
        <v>0.07</v>
      </c>
      <c r="L226" s="9">
        <v>226</v>
      </c>
      <c r="M226" s="14">
        <v>0.05</v>
      </c>
      <c r="N226" s="9">
        <f t="shared" si="3"/>
        <v>16.611</v>
      </c>
      <c r="O226" s="6">
        <v>17.4</v>
      </c>
      <c r="P226" s="6" t="s">
        <v>49</v>
      </c>
      <c r="Q226" s="6" t="s">
        <v>769</v>
      </c>
      <c r="R226" s="6" t="s">
        <v>49</v>
      </c>
    </row>
    <row r="227" ht="28.8" spans="1:18">
      <c r="A227" s="6" t="s">
        <v>992</v>
      </c>
      <c r="B227" s="6" t="s">
        <v>413</v>
      </c>
      <c r="C227" s="6" t="s">
        <v>414</v>
      </c>
      <c r="D227" s="6" t="s">
        <v>411</v>
      </c>
      <c r="E227" s="6" t="s">
        <v>750</v>
      </c>
      <c r="F227" s="6" t="s">
        <v>748</v>
      </c>
      <c r="G227" s="6" t="s">
        <v>21</v>
      </c>
      <c r="H227" s="6" t="s">
        <v>49</v>
      </c>
      <c r="I227" s="6" t="s">
        <v>49</v>
      </c>
      <c r="J227" s="6" t="s">
        <v>437</v>
      </c>
      <c r="K227" s="9">
        <v>0.13</v>
      </c>
      <c r="L227" s="9">
        <v>312</v>
      </c>
      <c r="M227" s="14">
        <v>0.05</v>
      </c>
      <c r="N227" s="9">
        <f t="shared" si="3"/>
        <v>42.588</v>
      </c>
      <c r="O227" s="6">
        <v>44.63</v>
      </c>
      <c r="P227" s="6" t="s">
        <v>49</v>
      </c>
      <c r="Q227" s="6" t="s">
        <v>769</v>
      </c>
      <c r="R227" s="6" t="s">
        <v>49</v>
      </c>
    </row>
    <row r="228" ht="28.8" spans="1:18">
      <c r="A228" s="6" t="s">
        <v>993</v>
      </c>
      <c r="B228" s="6" t="s">
        <v>413</v>
      </c>
      <c r="C228" s="6" t="s">
        <v>414</v>
      </c>
      <c r="D228" s="6" t="s">
        <v>411</v>
      </c>
      <c r="E228" s="6" t="s">
        <v>751</v>
      </c>
      <c r="F228" s="6" t="s">
        <v>745</v>
      </c>
      <c r="G228" s="6" t="s">
        <v>21</v>
      </c>
      <c r="H228" s="6" t="s">
        <v>49</v>
      </c>
      <c r="I228" s="6" t="s">
        <v>49</v>
      </c>
      <c r="J228" s="6" t="s">
        <v>437</v>
      </c>
      <c r="K228" s="9">
        <v>0.08</v>
      </c>
      <c r="L228" s="9">
        <v>312</v>
      </c>
      <c r="M228" s="14">
        <v>0.05</v>
      </c>
      <c r="N228" s="9">
        <f t="shared" si="3"/>
        <v>26.208</v>
      </c>
      <c r="O228" s="6">
        <v>27.46</v>
      </c>
      <c r="P228" s="6" t="s">
        <v>49</v>
      </c>
      <c r="Q228" s="6" t="s">
        <v>769</v>
      </c>
      <c r="R228" s="6" t="s">
        <v>49</v>
      </c>
    </row>
    <row r="229" ht="28.8" spans="1:18">
      <c r="A229" s="6" t="s">
        <v>994</v>
      </c>
      <c r="B229" s="6" t="s">
        <v>413</v>
      </c>
      <c r="C229" s="6" t="s">
        <v>414</v>
      </c>
      <c r="D229" s="6" t="s">
        <v>411</v>
      </c>
      <c r="E229" s="6" t="s">
        <v>752</v>
      </c>
      <c r="F229" s="6" t="s">
        <v>743</v>
      </c>
      <c r="G229" s="6" t="s">
        <v>21</v>
      </c>
      <c r="H229" s="6" t="s">
        <v>49</v>
      </c>
      <c r="I229" s="6" t="s">
        <v>49</v>
      </c>
      <c r="J229" s="6" t="s">
        <v>437</v>
      </c>
      <c r="K229" s="9">
        <v>1.27</v>
      </c>
      <c r="L229" s="9">
        <v>312</v>
      </c>
      <c r="M229" s="14">
        <v>0.05</v>
      </c>
      <c r="N229" s="9">
        <f t="shared" si="3"/>
        <v>416.052</v>
      </c>
      <c r="O229" s="6">
        <v>435.87</v>
      </c>
      <c r="P229" s="6" t="s">
        <v>49</v>
      </c>
      <c r="Q229" s="6" t="s">
        <v>769</v>
      </c>
      <c r="R229" s="6" t="s">
        <v>49</v>
      </c>
    </row>
    <row r="230" ht="28.8" spans="1:18">
      <c r="A230" s="6" t="s">
        <v>995</v>
      </c>
      <c r="B230" s="6" t="s">
        <v>420</v>
      </c>
      <c r="C230" s="6" t="s">
        <v>421</v>
      </c>
      <c r="D230" s="6" t="s">
        <v>423</v>
      </c>
      <c r="E230" s="6" t="s">
        <v>753</v>
      </c>
      <c r="F230" s="6" t="s">
        <v>754</v>
      </c>
      <c r="G230" s="6" t="s">
        <v>21</v>
      </c>
      <c r="H230" s="6" t="s">
        <v>49</v>
      </c>
      <c r="I230" s="6" t="s">
        <v>49</v>
      </c>
      <c r="J230" s="6" t="s">
        <v>437</v>
      </c>
      <c r="K230" s="9">
        <v>0.73</v>
      </c>
      <c r="L230" s="9">
        <v>2400</v>
      </c>
      <c r="M230" s="14">
        <v>0.05</v>
      </c>
      <c r="N230" s="9">
        <f t="shared" si="3"/>
        <v>1839.6</v>
      </c>
      <c r="O230" s="6">
        <v>2836.05</v>
      </c>
      <c r="P230" s="6" t="s">
        <v>49</v>
      </c>
      <c r="Q230" s="6" t="s">
        <v>769</v>
      </c>
      <c r="R230" s="6" t="s">
        <v>49</v>
      </c>
    </row>
    <row r="231" ht="28.8" spans="1:18">
      <c r="A231" s="6" t="s">
        <v>996</v>
      </c>
      <c r="B231" s="6" t="s">
        <v>420</v>
      </c>
      <c r="C231" s="6" t="s">
        <v>421</v>
      </c>
      <c r="D231" s="6" t="s">
        <v>423</v>
      </c>
      <c r="E231" s="6" t="s">
        <v>755</v>
      </c>
      <c r="F231" s="6" t="s">
        <v>756</v>
      </c>
      <c r="G231" s="6" t="s">
        <v>21</v>
      </c>
      <c r="H231" s="6" t="s">
        <v>49</v>
      </c>
      <c r="I231" s="6" t="s">
        <v>49</v>
      </c>
      <c r="J231" s="6" t="s">
        <v>437</v>
      </c>
      <c r="K231" s="9">
        <v>0.06</v>
      </c>
      <c r="L231" s="9">
        <v>2400</v>
      </c>
      <c r="M231" s="14">
        <v>0.05</v>
      </c>
      <c r="N231" s="9">
        <f t="shared" si="3"/>
        <v>151.2</v>
      </c>
      <c r="O231" s="6">
        <v>233.1</v>
      </c>
      <c r="P231" s="6" t="s">
        <v>49</v>
      </c>
      <c r="Q231" s="6" t="s">
        <v>769</v>
      </c>
      <c r="R231" s="6" t="s">
        <v>49</v>
      </c>
    </row>
    <row r="232" spans="11:14">
      <c r="K232" s="13"/>
      <c r="L232" s="13"/>
      <c r="M232" s="15"/>
      <c r="N232" s="13" t="str">
        <f t="shared" si="3"/>
        <v/>
      </c>
    </row>
    <row r="233" spans="11:14">
      <c r="K233" s="13"/>
      <c r="L233" s="13"/>
      <c r="M233" s="15"/>
      <c r="N233" s="13" t="str">
        <f t="shared" si="3"/>
        <v/>
      </c>
    </row>
    <row r="234" spans="11:14">
      <c r="K234" s="13"/>
      <c r="L234" s="13"/>
      <c r="M234" s="15"/>
      <c r="N234" s="13" t="str">
        <f t="shared" si="3"/>
        <v/>
      </c>
    </row>
    <row r="235" spans="11:14">
      <c r="K235" s="13"/>
      <c r="L235" s="13"/>
      <c r="M235" s="15"/>
      <c r="N235" s="13" t="str">
        <f t="shared" si="3"/>
        <v/>
      </c>
    </row>
    <row r="236" spans="11:14">
      <c r="K236" s="13"/>
      <c r="L236" s="13"/>
      <c r="M236" s="15"/>
      <c r="N236" s="13" t="str">
        <f t="shared" si="3"/>
        <v/>
      </c>
    </row>
    <row r="237" spans="11:14">
      <c r="K237" s="13"/>
      <c r="L237" s="13"/>
      <c r="M237" s="15"/>
      <c r="N237" s="13" t="str">
        <f t="shared" si="3"/>
        <v/>
      </c>
    </row>
    <row r="238" spans="11:14">
      <c r="K238" s="13"/>
      <c r="L238" s="13"/>
      <c r="M238" s="15"/>
      <c r="N238" s="13" t="str">
        <f t="shared" si="3"/>
        <v/>
      </c>
    </row>
    <row r="239" spans="11:14">
      <c r="K239" s="13"/>
      <c r="L239" s="13"/>
      <c r="M239" s="15"/>
      <c r="N239" s="13" t="str">
        <f t="shared" si="3"/>
        <v/>
      </c>
    </row>
    <row r="240" spans="11:14">
      <c r="K240" s="13"/>
      <c r="L240" s="13"/>
      <c r="M240" s="15"/>
      <c r="N240" s="13" t="str">
        <f t="shared" si="3"/>
        <v/>
      </c>
    </row>
    <row r="241" spans="11:14">
      <c r="K241" s="13"/>
      <c r="L241" s="13"/>
      <c r="M241" s="15"/>
      <c r="N241" s="13" t="str">
        <f t="shared" si="3"/>
        <v/>
      </c>
    </row>
    <row r="242" spans="11:14">
      <c r="K242" s="13"/>
      <c r="L242" s="13"/>
      <c r="M242" s="15"/>
      <c r="N242" s="13" t="str">
        <f t="shared" si="3"/>
        <v/>
      </c>
    </row>
    <row r="243" spans="11:14">
      <c r="K243" s="13"/>
      <c r="L243" s="13"/>
      <c r="M243" s="15"/>
      <c r="N243" s="13" t="str">
        <f t="shared" si="3"/>
        <v/>
      </c>
    </row>
    <row r="244" spans="11:14">
      <c r="K244" s="13"/>
      <c r="L244" s="13"/>
      <c r="M244" s="15"/>
      <c r="N244" s="13" t="str">
        <f t="shared" si="3"/>
        <v/>
      </c>
    </row>
  </sheetData>
  <mergeCells count="2">
    <mergeCell ref="A1:R1"/>
    <mergeCell ref="A3:R3"/>
  </mergeCells>
  <dataValidations count="1">
    <dataValidation type="list" sqref="G5:G244">
      <formula1>"纱线,面料,辅料,半成品,成衣"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4"/>
  <sheetViews>
    <sheetView showGridLines="0" workbookViewId="0">
      <selection activeCell="A1" sqref="A1:R1"/>
    </sheetView>
  </sheetViews>
  <sheetFormatPr defaultColWidth="9" defaultRowHeight="13.8"/>
  <cols>
    <col min="1" max="2" width="11.8833333333333" customWidth="1"/>
    <col min="3" max="3" width="13.75" customWidth="1"/>
    <col min="4" max="4" width="15" customWidth="1"/>
    <col min="5" max="5" width="16.25" customWidth="1"/>
    <col min="6" max="6" width="15" customWidth="1"/>
    <col min="7" max="7" width="11.25" customWidth="1"/>
    <col min="8" max="8" width="27.5" customWidth="1"/>
    <col min="9" max="9" width="10" customWidth="1"/>
    <col min="10" max="10" width="12.5" customWidth="1"/>
    <col min="11" max="11" width="10" customWidth="1"/>
    <col min="12" max="13" width="11.25" customWidth="1"/>
    <col min="14" max="14" width="10" customWidth="1"/>
    <col min="15" max="15" width="12.5" customWidth="1"/>
    <col min="16" max="16" width="15" customWidth="1"/>
    <col min="17" max="17" width="11.25" customWidth="1"/>
    <col min="18" max="18" width="20" customWidth="1"/>
  </cols>
  <sheetData>
    <row r="1" ht="25.5" customHeight="1" spans="1:18">
      <c r="A1" s="1" t="s">
        <v>997</v>
      </c>
      <c r="B1" s="1" t="s">
        <v>997</v>
      </c>
      <c r="C1" s="1" t="s">
        <v>997</v>
      </c>
      <c r="D1" s="1" t="s">
        <v>997</v>
      </c>
      <c r="E1" s="1" t="s">
        <v>997</v>
      </c>
      <c r="F1" s="1" t="s">
        <v>997</v>
      </c>
      <c r="G1" s="1" t="s">
        <v>997</v>
      </c>
      <c r="H1" s="1" t="s">
        <v>997</v>
      </c>
      <c r="I1" s="1" t="s">
        <v>997</v>
      </c>
      <c r="J1" s="1" t="s">
        <v>997</v>
      </c>
      <c r="K1" s="1" t="s">
        <v>997</v>
      </c>
      <c r="L1" s="1" t="s">
        <v>997</v>
      </c>
      <c r="M1" s="1" t="s">
        <v>997</v>
      </c>
      <c r="N1" s="1" t="s">
        <v>997</v>
      </c>
      <c r="O1" s="1" t="s">
        <v>997</v>
      </c>
      <c r="P1" s="1" t="s">
        <v>997</v>
      </c>
      <c r="Q1" s="1" t="s">
        <v>997</v>
      </c>
      <c r="R1" s="1" t="s">
        <v>997</v>
      </c>
    </row>
    <row r="3" spans="1:18">
      <c r="A3" s="4" t="s">
        <v>998</v>
      </c>
      <c r="B3" s="4" t="s">
        <v>998</v>
      </c>
      <c r="C3" s="4" t="s">
        <v>998</v>
      </c>
      <c r="D3" s="4" t="s">
        <v>998</v>
      </c>
      <c r="E3" s="4" t="s">
        <v>998</v>
      </c>
      <c r="F3" s="4" t="s">
        <v>998</v>
      </c>
      <c r="G3" s="4" t="s">
        <v>998</v>
      </c>
      <c r="H3" s="4" t="s">
        <v>998</v>
      </c>
      <c r="I3" s="4" t="s">
        <v>998</v>
      </c>
      <c r="J3" s="4" t="s">
        <v>998</v>
      </c>
      <c r="K3" s="4" t="s">
        <v>998</v>
      </c>
      <c r="L3" s="4" t="s">
        <v>998</v>
      </c>
      <c r="M3" s="4" t="s">
        <v>998</v>
      </c>
      <c r="N3" s="4" t="s">
        <v>998</v>
      </c>
      <c r="O3" s="4" t="s">
        <v>998</v>
      </c>
      <c r="P3" s="4" t="s">
        <v>998</v>
      </c>
      <c r="Q3" s="4" t="s">
        <v>998</v>
      </c>
      <c r="R3" s="4" t="s">
        <v>998</v>
      </c>
    </row>
    <row r="4" ht="22.5" customHeight="1" spans="1:18">
      <c r="A4" s="5" t="s">
        <v>999</v>
      </c>
      <c r="B4" s="5" t="s">
        <v>1000</v>
      </c>
      <c r="C4" s="5" t="s">
        <v>1001</v>
      </c>
      <c r="D4" s="5" t="s">
        <v>1002</v>
      </c>
      <c r="E4" s="5" t="s">
        <v>30</v>
      </c>
      <c r="F4" s="5" t="s">
        <v>31</v>
      </c>
      <c r="G4" s="5" t="s">
        <v>14</v>
      </c>
      <c r="H4" s="5" t="s">
        <v>15</v>
      </c>
      <c r="I4" s="5" t="s">
        <v>8</v>
      </c>
      <c r="J4" s="5" t="s">
        <v>1003</v>
      </c>
      <c r="K4" s="5" t="s">
        <v>1004</v>
      </c>
      <c r="L4" s="5" t="s">
        <v>1005</v>
      </c>
      <c r="M4" s="5" t="s">
        <v>430</v>
      </c>
      <c r="N4" s="5" t="s">
        <v>1006</v>
      </c>
      <c r="O4" s="5" t="s">
        <v>1007</v>
      </c>
      <c r="P4" s="5" t="s">
        <v>1008</v>
      </c>
      <c r="Q4" s="5" t="s">
        <v>1009</v>
      </c>
      <c r="R4" s="5" t="s">
        <v>44</v>
      </c>
    </row>
    <row r="5" ht="14.4" spans="1:18">
      <c r="A5" s="6" t="s">
        <v>1010</v>
      </c>
      <c r="B5" s="11" t="s">
        <v>1011</v>
      </c>
      <c r="C5" s="6" t="s">
        <v>1012</v>
      </c>
      <c r="D5" s="6" t="s">
        <v>49</v>
      </c>
      <c r="E5" s="6" t="s">
        <v>50</v>
      </c>
      <c r="F5" s="6" t="s">
        <v>51</v>
      </c>
      <c r="G5" s="6" t="s">
        <v>436</v>
      </c>
      <c r="H5" s="6" t="s">
        <v>54</v>
      </c>
      <c r="I5" s="6" t="s">
        <v>21</v>
      </c>
      <c r="J5" s="6" t="s">
        <v>49</v>
      </c>
      <c r="K5" s="6" t="s">
        <v>441</v>
      </c>
      <c r="L5" s="9" t="s">
        <v>49</v>
      </c>
      <c r="M5" s="9" t="s">
        <v>437</v>
      </c>
      <c r="N5" s="9">
        <f>IFERROR(_xlfn.XLOOKUP(K5&amp;"|"&amp;M5,单位换算!$C$5:$C$30,单位换算!$D$5:$D$30),1)</f>
        <v>1</v>
      </c>
      <c r="O5" s="9" t="str">
        <f t="shared" ref="O5:O68" si="0">IF(L5="","",L5*N5)</f>
        <v/>
      </c>
      <c r="P5" s="6" t="s">
        <v>438</v>
      </c>
      <c r="Q5" s="6" t="s">
        <v>1013</v>
      </c>
      <c r="R5" s="6" t="s">
        <v>49</v>
      </c>
    </row>
    <row r="6" ht="14.4" spans="1:18">
      <c r="A6" s="6" t="s">
        <v>1014</v>
      </c>
      <c r="B6" s="11" t="s">
        <v>1011</v>
      </c>
      <c r="C6" s="6" t="s">
        <v>1015</v>
      </c>
      <c r="D6" s="6" t="s">
        <v>49</v>
      </c>
      <c r="E6" s="6" t="s">
        <v>60</v>
      </c>
      <c r="F6" s="6" t="s">
        <v>61</v>
      </c>
      <c r="G6" s="6" t="s">
        <v>440</v>
      </c>
      <c r="H6" s="6" t="s">
        <v>64</v>
      </c>
      <c r="I6" s="6" t="s">
        <v>20</v>
      </c>
      <c r="J6" s="6" t="s">
        <v>49</v>
      </c>
      <c r="K6" s="6" t="s">
        <v>441</v>
      </c>
      <c r="L6" s="9">
        <v>980.1</v>
      </c>
      <c r="M6" s="9" t="s">
        <v>441</v>
      </c>
      <c r="N6" s="9">
        <f>IFERROR(_xlfn.XLOOKUP(K6&amp;"|"&amp;M6,单位换算!$C$5:$C$30,单位换算!$D$5:$D$30),1)</f>
        <v>1</v>
      </c>
      <c r="O6" s="9">
        <f t="shared" si="0"/>
        <v>980.1</v>
      </c>
      <c r="P6" s="6" t="s">
        <v>442</v>
      </c>
      <c r="Q6" s="6" t="s">
        <v>1013</v>
      </c>
      <c r="R6" s="6" t="s">
        <v>49</v>
      </c>
    </row>
    <row r="7" ht="14.4" spans="1:18">
      <c r="A7" s="6" t="s">
        <v>1016</v>
      </c>
      <c r="B7" s="11" t="s">
        <v>1011</v>
      </c>
      <c r="C7" s="6" t="s">
        <v>1015</v>
      </c>
      <c r="D7" s="6" t="s">
        <v>75</v>
      </c>
      <c r="E7" s="6" t="s">
        <v>70</v>
      </c>
      <c r="F7" s="6" t="s">
        <v>71</v>
      </c>
      <c r="G7" s="6" t="s">
        <v>443</v>
      </c>
      <c r="H7" s="6" t="s">
        <v>444</v>
      </c>
      <c r="I7" s="6" t="s">
        <v>21</v>
      </c>
      <c r="J7" s="6" t="s">
        <v>49</v>
      </c>
      <c r="K7" s="6" t="s">
        <v>437</v>
      </c>
      <c r="L7" s="9">
        <v>2376</v>
      </c>
      <c r="M7" s="9" t="s">
        <v>437</v>
      </c>
      <c r="N7" s="9">
        <f>IFERROR(_xlfn.XLOOKUP(K7&amp;"|"&amp;M7,单位换算!$C$5:$C$30,单位换算!$D$5:$D$30),1)</f>
        <v>1</v>
      </c>
      <c r="O7" s="9">
        <f t="shared" si="0"/>
        <v>2376</v>
      </c>
      <c r="P7" s="6" t="s">
        <v>438</v>
      </c>
      <c r="Q7" s="6" t="s">
        <v>1013</v>
      </c>
      <c r="R7" s="6" t="s">
        <v>49</v>
      </c>
    </row>
    <row r="8" ht="14.4" spans="1:18">
      <c r="A8" s="6" t="s">
        <v>1017</v>
      </c>
      <c r="B8" s="11" t="s">
        <v>1011</v>
      </c>
      <c r="C8" s="6" t="s">
        <v>1012</v>
      </c>
      <c r="D8" s="6" t="s">
        <v>75</v>
      </c>
      <c r="E8" s="6" t="s">
        <v>70</v>
      </c>
      <c r="F8" s="6" t="s">
        <v>71</v>
      </c>
      <c r="G8" s="6" t="s">
        <v>445</v>
      </c>
      <c r="H8" s="6" t="s">
        <v>446</v>
      </c>
      <c r="I8" s="6" t="s">
        <v>21</v>
      </c>
      <c r="J8" s="6" t="s">
        <v>49</v>
      </c>
      <c r="K8" s="6" t="s">
        <v>437</v>
      </c>
      <c r="L8" s="9">
        <v>52.8</v>
      </c>
      <c r="M8" s="9" t="s">
        <v>437</v>
      </c>
      <c r="N8" s="9">
        <f>IFERROR(_xlfn.XLOOKUP(K8&amp;"|"&amp;M8,单位换算!$C$5:$C$30,单位换算!$D$5:$D$30),1)</f>
        <v>1</v>
      </c>
      <c r="O8" s="9">
        <f t="shared" si="0"/>
        <v>52.8</v>
      </c>
      <c r="P8" s="6" t="s">
        <v>438</v>
      </c>
      <c r="Q8" s="6" t="s">
        <v>1013</v>
      </c>
      <c r="R8" s="6" t="s">
        <v>49</v>
      </c>
    </row>
    <row r="9" ht="14.4" spans="1:18">
      <c r="A9" s="6" t="s">
        <v>1018</v>
      </c>
      <c r="B9" s="11" t="s">
        <v>1011</v>
      </c>
      <c r="C9" s="6" t="s">
        <v>1015</v>
      </c>
      <c r="D9" s="6" t="s">
        <v>49</v>
      </c>
      <c r="E9" s="6" t="s">
        <v>80</v>
      </c>
      <c r="F9" s="6" t="s">
        <v>81</v>
      </c>
      <c r="G9" s="6" t="s">
        <v>447</v>
      </c>
      <c r="H9" s="6" t="s">
        <v>448</v>
      </c>
      <c r="I9" s="6" t="s">
        <v>21</v>
      </c>
      <c r="J9" s="6" t="s">
        <v>49</v>
      </c>
      <c r="K9" s="6" t="s">
        <v>437</v>
      </c>
      <c r="L9" s="9">
        <v>6864</v>
      </c>
      <c r="M9" s="9" t="s">
        <v>437</v>
      </c>
      <c r="N9" s="9">
        <f>IFERROR(_xlfn.XLOOKUP(K9&amp;"|"&amp;M9,单位换算!$C$5:$C$30,单位换算!$D$5:$D$30),1)</f>
        <v>1</v>
      </c>
      <c r="O9" s="9">
        <f t="shared" si="0"/>
        <v>6864</v>
      </c>
      <c r="P9" s="6" t="s">
        <v>438</v>
      </c>
      <c r="Q9" s="6" t="s">
        <v>1013</v>
      </c>
      <c r="R9" s="6" t="s">
        <v>49</v>
      </c>
    </row>
    <row r="10" ht="14.4" spans="1:18">
      <c r="A10" s="6" t="s">
        <v>1019</v>
      </c>
      <c r="B10" s="11" t="s">
        <v>1011</v>
      </c>
      <c r="C10" s="6" t="s">
        <v>1015</v>
      </c>
      <c r="D10" s="6" t="s">
        <v>49</v>
      </c>
      <c r="E10" s="6" t="s">
        <v>80</v>
      </c>
      <c r="F10" s="6" t="s">
        <v>81</v>
      </c>
      <c r="G10" s="6" t="s">
        <v>449</v>
      </c>
      <c r="H10" s="6" t="s">
        <v>450</v>
      </c>
      <c r="I10" s="6" t="s">
        <v>21</v>
      </c>
      <c r="J10" s="6" t="s">
        <v>49</v>
      </c>
      <c r="K10" s="6" t="s">
        <v>437</v>
      </c>
      <c r="L10" s="9">
        <v>191</v>
      </c>
      <c r="M10" s="9" t="s">
        <v>437</v>
      </c>
      <c r="N10" s="9">
        <f>IFERROR(_xlfn.XLOOKUP(K10&amp;"|"&amp;M10,单位换算!$C$5:$C$30,单位换算!$D$5:$D$30),1)</f>
        <v>1</v>
      </c>
      <c r="O10" s="9">
        <f t="shared" si="0"/>
        <v>191</v>
      </c>
      <c r="P10" s="6" t="s">
        <v>438</v>
      </c>
      <c r="Q10" s="6" t="s">
        <v>1013</v>
      </c>
      <c r="R10" s="6" t="s">
        <v>49</v>
      </c>
    </row>
    <row r="11" ht="14.4" spans="1:18">
      <c r="A11" s="6" t="s">
        <v>1020</v>
      </c>
      <c r="B11" s="11" t="s">
        <v>1011</v>
      </c>
      <c r="C11" s="6" t="s">
        <v>1012</v>
      </c>
      <c r="D11" s="6" t="s">
        <v>49</v>
      </c>
      <c r="E11" s="6" t="s">
        <v>86</v>
      </c>
      <c r="F11" s="6" t="s">
        <v>87</v>
      </c>
      <c r="G11" s="6" t="s">
        <v>451</v>
      </c>
      <c r="H11" s="6" t="s">
        <v>90</v>
      </c>
      <c r="I11" s="6" t="s">
        <v>20</v>
      </c>
      <c r="J11" s="6" t="s">
        <v>49</v>
      </c>
      <c r="K11" s="6" t="s">
        <v>441</v>
      </c>
      <c r="L11" s="9">
        <v>362</v>
      </c>
      <c r="M11" s="9" t="s">
        <v>441</v>
      </c>
      <c r="N11" s="9">
        <f>IFERROR(_xlfn.XLOOKUP(K11&amp;"|"&amp;M11,单位换算!$C$5:$C$30,单位换算!$D$5:$D$30),1)</f>
        <v>1</v>
      </c>
      <c r="O11" s="9">
        <f t="shared" si="0"/>
        <v>362</v>
      </c>
      <c r="P11" s="6" t="s">
        <v>442</v>
      </c>
      <c r="Q11" s="6" t="s">
        <v>1013</v>
      </c>
      <c r="R11" s="6" t="s">
        <v>49</v>
      </c>
    </row>
    <row r="12" ht="14.4" spans="1:18">
      <c r="A12" s="6" t="s">
        <v>1021</v>
      </c>
      <c r="B12" s="11" t="s">
        <v>1011</v>
      </c>
      <c r="C12" s="6" t="s">
        <v>1015</v>
      </c>
      <c r="D12" s="6" t="s">
        <v>49</v>
      </c>
      <c r="E12" s="6" t="s">
        <v>86</v>
      </c>
      <c r="F12" s="6" t="s">
        <v>87</v>
      </c>
      <c r="G12" s="6" t="s">
        <v>452</v>
      </c>
      <c r="H12" s="6" t="s">
        <v>90</v>
      </c>
      <c r="I12" s="6" t="s">
        <v>20</v>
      </c>
      <c r="J12" s="6" t="s">
        <v>49</v>
      </c>
      <c r="K12" s="6" t="s">
        <v>441</v>
      </c>
      <c r="L12" s="9">
        <v>362</v>
      </c>
      <c r="M12" s="9" t="s">
        <v>441</v>
      </c>
      <c r="N12" s="9">
        <f>IFERROR(_xlfn.XLOOKUP(K12&amp;"|"&amp;M12,单位换算!$C$5:$C$30,单位换算!$D$5:$D$30),1)</f>
        <v>1</v>
      </c>
      <c r="O12" s="9">
        <f t="shared" si="0"/>
        <v>362</v>
      </c>
      <c r="P12" s="6" t="s">
        <v>442</v>
      </c>
      <c r="Q12" s="6" t="s">
        <v>1013</v>
      </c>
      <c r="R12" s="6" t="s">
        <v>49</v>
      </c>
    </row>
    <row r="13" ht="14.4" spans="1:18">
      <c r="A13" s="6" t="s">
        <v>1022</v>
      </c>
      <c r="B13" s="11" t="s">
        <v>1011</v>
      </c>
      <c r="C13" s="6" t="s">
        <v>1015</v>
      </c>
      <c r="D13" s="6" t="s">
        <v>49</v>
      </c>
      <c r="E13" s="6" t="s">
        <v>91</v>
      </c>
      <c r="F13" s="6" t="s">
        <v>92</v>
      </c>
      <c r="G13" s="6" t="s">
        <v>453</v>
      </c>
      <c r="H13" s="6" t="s">
        <v>95</v>
      </c>
      <c r="I13" s="6" t="s">
        <v>21</v>
      </c>
      <c r="J13" s="6" t="s">
        <v>49</v>
      </c>
      <c r="K13" s="6" t="s">
        <v>437</v>
      </c>
      <c r="L13" s="9">
        <v>3027</v>
      </c>
      <c r="M13" s="9" t="s">
        <v>437</v>
      </c>
      <c r="N13" s="9">
        <f>IFERROR(_xlfn.XLOOKUP(K13&amp;"|"&amp;M13,单位换算!$C$5:$C$30,单位换算!$D$5:$D$30),1)</f>
        <v>1</v>
      </c>
      <c r="O13" s="9">
        <f t="shared" si="0"/>
        <v>3027</v>
      </c>
      <c r="P13" s="6" t="s">
        <v>438</v>
      </c>
      <c r="Q13" s="6" t="s">
        <v>1013</v>
      </c>
      <c r="R13" s="6" t="s">
        <v>49</v>
      </c>
    </row>
    <row r="14" ht="14.4" spans="1:18">
      <c r="A14" s="6" t="s">
        <v>1023</v>
      </c>
      <c r="B14" s="11" t="s">
        <v>1011</v>
      </c>
      <c r="C14" s="6" t="s">
        <v>1012</v>
      </c>
      <c r="D14" s="6" t="s">
        <v>49</v>
      </c>
      <c r="E14" s="6" t="s">
        <v>97</v>
      </c>
      <c r="F14" s="6" t="s">
        <v>98</v>
      </c>
      <c r="G14" s="6" t="s">
        <v>454</v>
      </c>
      <c r="H14" s="6" t="s">
        <v>455</v>
      </c>
      <c r="I14" s="6" t="s">
        <v>20</v>
      </c>
      <c r="J14" s="6" t="s">
        <v>49</v>
      </c>
      <c r="K14" s="6" t="s">
        <v>441</v>
      </c>
      <c r="L14" s="9">
        <v>51</v>
      </c>
      <c r="M14" s="9" t="s">
        <v>441</v>
      </c>
      <c r="N14" s="9">
        <f>IFERROR(_xlfn.XLOOKUP(K14&amp;"|"&amp;M14,单位换算!$C$5:$C$30,单位换算!$D$5:$D$30),1)</f>
        <v>1</v>
      </c>
      <c r="O14" s="9">
        <f t="shared" si="0"/>
        <v>51</v>
      </c>
      <c r="P14" s="6" t="s">
        <v>442</v>
      </c>
      <c r="Q14" s="6" t="s">
        <v>1013</v>
      </c>
      <c r="R14" s="6" t="s">
        <v>49</v>
      </c>
    </row>
    <row r="15" ht="14.4" spans="1:18">
      <c r="A15" s="6" t="s">
        <v>1024</v>
      </c>
      <c r="B15" s="11" t="s">
        <v>1011</v>
      </c>
      <c r="C15" s="6" t="s">
        <v>1015</v>
      </c>
      <c r="D15" s="6" t="s">
        <v>49</v>
      </c>
      <c r="E15" s="6" t="s">
        <v>97</v>
      </c>
      <c r="F15" s="6" t="s">
        <v>98</v>
      </c>
      <c r="G15" s="6" t="s">
        <v>456</v>
      </c>
      <c r="H15" s="6" t="s">
        <v>457</v>
      </c>
      <c r="I15" s="6" t="s">
        <v>22</v>
      </c>
      <c r="J15" s="6" t="s">
        <v>49</v>
      </c>
      <c r="K15" s="6" t="s">
        <v>441</v>
      </c>
      <c r="L15" s="9">
        <v>7.8</v>
      </c>
      <c r="M15" s="9" t="s">
        <v>458</v>
      </c>
      <c r="N15" s="9">
        <f>IFERROR(_xlfn.XLOOKUP(K15&amp;"|"&amp;M15,单位换算!$C$5:$C$30,单位换算!$D$5:$D$30),1)</f>
        <v>1</v>
      </c>
      <c r="O15" s="9">
        <f t="shared" si="0"/>
        <v>7.8</v>
      </c>
      <c r="P15" s="6" t="s">
        <v>459</v>
      </c>
      <c r="Q15" s="6" t="s">
        <v>1013</v>
      </c>
      <c r="R15" s="6" t="s">
        <v>49</v>
      </c>
    </row>
    <row r="16" ht="14.4" spans="1:18">
      <c r="A16" s="6" t="s">
        <v>1025</v>
      </c>
      <c r="B16" s="11" t="s">
        <v>1011</v>
      </c>
      <c r="C16" s="6" t="s">
        <v>1015</v>
      </c>
      <c r="D16" s="6" t="s">
        <v>49</v>
      </c>
      <c r="E16" s="6" t="s">
        <v>97</v>
      </c>
      <c r="F16" s="6" t="s">
        <v>98</v>
      </c>
      <c r="G16" s="6" t="s">
        <v>460</v>
      </c>
      <c r="H16" s="6" t="s">
        <v>461</v>
      </c>
      <c r="I16" s="6" t="s">
        <v>21</v>
      </c>
      <c r="J16" s="6" t="s">
        <v>49</v>
      </c>
      <c r="K16" s="6" t="s">
        <v>441</v>
      </c>
      <c r="L16" s="9">
        <v>4.5</v>
      </c>
      <c r="M16" s="9" t="s">
        <v>437</v>
      </c>
      <c r="N16" s="9">
        <f>IFERROR(_xlfn.XLOOKUP(K16&amp;"|"&amp;M16,单位换算!$C$5:$C$30,单位换算!$D$5:$D$30),1)</f>
        <v>1</v>
      </c>
      <c r="O16" s="9">
        <f t="shared" si="0"/>
        <v>4.5</v>
      </c>
      <c r="P16" s="6" t="s">
        <v>438</v>
      </c>
      <c r="Q16" s="6" t="s">
        <v>1013</v>
      </c>
      <c r="R16" s="6" t="s">
        <v>49</v>
      </c>
    </row>
    <row r="17" ht="14.4" spans="1:18">
      <c r="A17" s="6" t="s">
        <v>1026</v>
      </c>
      <c r="B17" s="11" t="s">
        <v>1011</v>
      </c>
      <c r="C17" s="6" t="s">
        <v>1012</v>
      </c>
      <c r="D17" s="6" t="s">
        <v>49</v>
      </c>
      <c r="E17" s="6" t="s">
        <v>103</v>
      </c>
      <c r="F17" s="6" t="s">
        <v>104</v>
      </c>
      <c r="G17" s="6" t="s">
        <v>462</v>
      </c>
      <c r="H17" s="6" t="s">
        <v>463</v>
      </c>
      <c r="I17" s="6" t="s">
        <v>21</v>
      </c>
      <c r="J17" s="6" t="s">
        <v>49</v>
      </c>
      <c r="K17" s="6" t="s">
        <v>437</v>
      </c>
      <c r="L17" s="9">
        <v>208</v>
      </c>
      <c r="M17" s="9" t="s">
        <v>437</v>
      </c>
      <c r="N17" s="9">
        <f>IFERROR(_xlfn.XLOOKUP(K17&amp;"|"&amp;M17,单位换算!$C$5:$C$30,单位换算!$D$5:$D$30),1)</f>
        <v>1</v>
      </c>
      <c r="O17" s="9">
        <f t="shared" si="0"/>
        <v>208</v>
      </c>
      <c r="P17" s="6" t="s">
        <v>438</v>
      </c>
      <c r="Q17" s="6" t="s">
        <v>1013</v>
      </c>
      <c r="R17" s="6" t="s">
        <v>49</v>
      </c>
    </row>
    <row r="18" ht="14.4" spans="1:18">
      <c r="A18" s="6" t="s">
        <v>1027</v>
      </c>
      <c r="B18" s="11" t="s">
        <v>1011</v>
      </c>
      <c r="C18" s="6" t="s">
        <v>1015</v>
      </c>
      <c r="D18" s="6" t="s">
        <v>49</v>
      </c>
      <c r="E18" s="6" t="s">
        <v>103</v>
      </c>
      <c r="F18" s="6" t="s">
        <v>104</v>
      </c>
      <c r="G18" s="6" t="s">
        <v>464</v>
      </c>
      <c r="H18" s="6" t="s">
        <v>465</v>
      </c>
      <c r="I18" s="6" t="s">
        <v>21</v>
      </c>
      <c r="J18" s="6" t="s">
        <v>49</v>
      </c>
      <c r="K18" s="6" t="s">
        <v>437</v>
      </c>
      <c r="L18" s="9">
        <v>38</v>
      </c>
      <c r="M18" s="9" t="s">
        <v>437</v>
      </c>
      <c r="N18" s="9">
        <f>IFERROR(_xlfn.XLOOKUP(K18&amp;"|"&amp;M18,单位换算!$C$5:$C$30,单位换算!$D$5:$D$30),1)</f>
        <v>1</v>
      </c>
      <c r="O18" s="9">
        <f t="shared" si="0"/>
        <v>38</v>
      </c>
      <c r="P18" s="6" t="s">
        <v>438</v>
      </c>
      <c r="Q18" s="6" t="s">
        <v>1013</v>
      </c>
      <c r="R18" s="6" t="s">
        <v>49</v>
      </c>
    </row>
    <row r="19" ht="14.4" spans="1:18">
      <c r="A19" s="6" t="s">
        <v>1028</v>
      </c>
      <c r="B19" s="11" t="s">
        <v>1011</v>
      </c>
      <c r="C19" s="6" t="s">
        <v>1015</v>
      </c>
      <c r="D19" s="6" t="s">
        <v>49</v>
      </c>
      <c r="E19" s="6" t="s">
        <v>109</v>
      </c>
      <c r="F19" s="6" t="s">
        <v>110</v>
      </c>
      <c r="G19" s="6" t="s">
        <v>466</v>
      </c>
      <c r="H19" s="6" t="s">
        <v>455</v>
      </c>
      <c r="I19" s="6" t="s">
        <v>20</v>
      </c>
      <c r="J19" s="6" t="s">
        <v>49</v>
      </c>
      <c r="K19" s="6" t="s">
        <v>441</v>
      </c>
      <c r="L19" s="9">
        <v>57.6</v>
      </c>
      <c r="M19" s="9" t="s">
        <v>441</v>
      </c>
      <c r="N19" s="9">
        <f>IFERROR(_xlfn.XLOOKUP(K19&amp;"|"&amp;M19,单位换算!$C$5:$C$30,单位换算!$D$5:$D$30),1)</f>
        <v>1</v>
      </c>
      <c r="O19" s="9">
        <f t="shared" si="0"/>
        <v>57.6</v>
      </c>
      <c r="P19" s="6" t="s">
        <v>442</v>
      </c>
      <c r="Q19" s="6" t="s">
        <v>1013</v>
      </c>
      <c r="R19" s="6" t="s">
        <v>49</v>
      </c>
    </row>
    <row r="20" ht="14.4" spans="1:18">
      <c r="A20" s="6" t="s">
        <v>1029</v>
      </c>
      <c r="B20" s="11" t="s">
        <v>1011</v>
      </c>
      <c r="C20" s="6" t="s">
        <v>1012</v>
      </c>
      <c r="D20" s="6" t="s">
        <v>49</v>
      </c>
      <c r="E20" s="6" t="s">
        <v>109</v>
      </c>
      <c r="F20" s="6" t="s">
        <v>110</v>
      </c>
      <c r="G20" s="6" t="s">
        <v>467</v>
      </c>
      <c r="H20" s="6" t="s">
        <v>468</v>
      </c>
      <c r="I20" s="6" t="s">
        <v>21</v>
      </c>
      <c r="J20" s="6" t="s">
        <v>49</v>
      </c>
      <c r="K20" s="6" t="s">
        <v>441</v>
      </c>
      <c r="L20" s="9">
        <v>7.8</v>
      </c>
      <c r="M20" s="9" t="s">
        <v>437</v>
      </c>
      <c r="N20" s="9">
        <f>IFERROR(_xlfn.XLOOKUP(K20&amp;"|"&amp;M20,单位换算!$C$5:$C$30,单位换算!$D$5:$D$30),1)</f>
        <v>1</v>
      </c>
      <c r="O20" s="9">
        <f t="shared" si="0"/>
        <v>7.8</v>
      </c>
      <c r="P20" s="6" t="s">
        <v>438</v>
      </c>
      <c r="Q20" s="6" t="s">
        <v>1013</v>
      </c>
      <c r="R20" s="6" t="s">
        <v>49</v>
      </c>
    </row>
    <row r="21" ht="14.4" spans="1:18">
      <c r="A21" s="6" t="s">
        <v>1030</v>
      </c>
      <c r="B21" s="11" t="s">
        <v>1011</v>
      </c>
      <c r="C21" s="6" t="s">
        <v>1015</v>
      </c>
      <c r="D21" s="6" t="s">
        <v>49</v>
      </c>
      <c r="E21" s="6" t="s">
        <v>109</v>
      </c>
      <c r="F21" s="6" t="s">
        <v>110</v>
      </c>
      <c r="G21" s="6" t="s">
        <v>469</v>
      </c>
      <c r="H21" s="6" t="s">
        <v>455</v>
      </c>
      <c r="I21" s="6" t="s">
        <v>20</v>
      </c>
      <c r="J21" s="6" t="s">
        <v>49</v>
      </c>
      <c r="K21" s="6" t="s">
        <v>441</v>
      </c>
      <c r="L21" s="9">
        <v>4.8</v>
      </c>
      <c r="M21" s="9" t="s">
        <v>441</v>
      </c>
      <c r="N21" s="9">
        <f>IFERROR(_xlfn.XLOOKUP(K21&amp;"|"&amp;M21,单位换算!$C$5:$C$30,单位换算!$D$5:$D$30),1)</f>
        <v>1</v>
      </c>
      <c r="O21" s="9">
        <f t="shared" si="0"/>
        <v>4.8</v>
      </c>
      <c r="P21" s="6" t="s">
        <v>442</v>
      </c>
      <c r="Q21" s="6" t="s">
        <v>1013</v>
      </c>
      <c r="R21" s="6" t="s">
        <v>49</v>
      </c>
    </row>
    <row r="22" ht="27.6" spans="1:18">
      <c r="A22" s="6" t="s">
        <v>1031</v>
      </c>
      <c r="B22" s="11" t="s">
        <v>1011</v>
      </c>
      <c r="C22" s="6" t="s">
        <v>1015</v>
      </c>
      <c r="D22" s="6" t="s">
        <v>120</v>
      </c>
      <c r="E22" s="6" t="s">
        <v>115</v>
      </c>
      <c r="F22" s="6" t="s">
        <v>116</v>
      </c>
      <c r="G22" s="6" t="s">
        <v>470</v>
      </c>
      <c r="H22" s="6" t="s">
        <v>471</v>
      </c>
      <c r="I22" s="6" t="s">
        <v>20</v>
      </c>
      <c r="J22" s="6" t="s">
        <v>49</v>
      </c>
      <c r="K22" s="6" t="s">
        <v>441</v>
      </c>
      <c r="L22" s="9">
        <v>52.16</v>
      </c>
      <c r="M22" s="9" t="s">
        <v>441</v>
      </c>
      <c r="N22" s="9">
        <f>IFERROR(_xlfn.XLOOKUP(K22&amp;"|"&amp;M22,单位换算!$C$5:$C$30,单位换算!$D$5:$D$30),1)</f>
        <v>1</v>
      </c>
      <c r="O22" s="9">
        <f t="shared" si="0"/>
        <v>52.16</v>
      </c>
      <c r="P22" s="6" t="s">
        <v>442</v>
      </c>
      <c r="Q22" s="6" t="s">
        <v>1013</v>
      </c>
      <c r="R22" s="6" t="s">
        <v>49</v>
      </c>
    </row>
    <row r="23" ht="27.6" spans="1:18">
      <c r="A23" s="6" t="s">
        <v>1032</v>
      </c>
      <c r="B23" s="11" t="s">
        <v>1011</v>
      </c>
      <c r="C23" s="6" t="s">
        <v>1012</v>
      </c>
      <c r="D23" s="6" t="s">
        <v>120</v>
      </c>
      <c r="E23" s="6" t="s">
        <v>115</v>
      </c>
      <c r="F23" s="6" t="s">
        <v>116</v>
      </c>
      <c r="G23" s="6" t="s">
        <v>472</v>
      </c>
      <c r="H23" s="6" t="s">
        <v>473</v>
      </c>
      <c r="I23" s="6" t="s">
        <v>20</v>
      </c>
      <c r="J23" s="6" t="s">
        <v>49</v>
      </c>
      <c r="K23" s="6" t="s">
        <v>441</v>
      </c>
      <c r="L23" s="9">
        <v>123.46</v>
      </c>
      <c r="M23" s="9" t="s">
        <v>441</v>
      </c>
      <c r="N23" s="9">
        <f>IFERROR(_xlfn.XLOOKUP(K23&amp;"|"&amp;M23,单位换算!$C$5:$C$30,单位换算!$D$5:$D$30),1)</f>
        <v>1</v>
      </c>
      <c r="O23" s="9">
        <f t="shared" si="0"/>
        <v>123.46</v>
      </c>
      <c r="P23" s="6" t="s">
        <v>442</v>
      </c>
      <c r="Q23" s="6" t="s">
        <v>1013</v>
      </c>
      <c r="R23" s="6" t="s">
        <v>49</v>
      </c>
    </row>
    <row r="24" ht="27.6" spans="1:18">
      <c r="A24" s="6" t="s">
        <v>1033</v>
      </c>
      <c r="B24" s="11" t="s">
        <v>1011</v>
      </c>
      <c r="C24" s="6" t="s">
        <v>1015</v>
      </c>
      <c r="D24" s="6" t="s">
        <v>120</v>
      </c>
      <c r="E24" s="6" t="s">
        <v>115</v>
      </c>
      <c r="F24" s="6" t="s">
        <v>116</v>
      </c>
      <c r="G24" s="6" t="s">
        <v>474</v>
      </c>
      <c r="H24" s="6" t="s">
        <v>475</v>
      </c>
      <c r="I24" s="6" t="s">
        <v>20</v>
      </c>
      <c r="J24" s="6" t="s">
        <v>49</v>
      </c>
      <c r="K24" s="6" t="s">
        <v>441</v>
      </c>
      <c r="L24" s="9">
        <v>16.53</v>
      </c>
      <c r="M24" s="9" t="s">
        <v>441</v>
      </c>
      <c r="N24" s="9">
        <f>IFERROR(_xlfn.XLOOKUP(K24&amp;"|"&amp;M24,单位换算!$C$5:$C$30,单位换算!$D$5:$D$30),1)</f>
        <v>1</v>
      </c>
      <c r="O24" s="9">
        <f t="shared" si="0"/>
        <v>16.53</v>
      </c>
      <c r="P24" s="6" t="s">
        <v>442</v>
      </c>
      <c r="Q24" s="6" t="s">
        <v>1013</v>
      </c>
      <c r="R24" s="6" t="s">
        <v>49</v>
      </c>
    </row>
    <row r="25" spans="2:15">
      <c r="B25" s="12"/>
      <c r="L25" s="13"/>
      <c r="M25" s="13"/>
      <c r="N25" s="13">
        <f>IFERROR(_xlfn.XLOOKUP(K25&amp;"|"&amp;M25,单位换算!$C$5:$C$30,单位换算!$D$5:$D$30),1)</f>
        <v>1</v>
      </c>
      <c r="O25" s="13" t="str">
        <f t="shared" si="0"/>
        <v/>
      </c>
    </row>
    <row r="26" spans="2:15">
      <c r="B26" s="12"/>
      <c r="L26" s="13"/>
      <c r="M26" s="13"/>
      <c r="N26" s="13">
        <f>IFERROR(_xlfn.XLOOKUP(K26&amp;"|"&amp;M26,单位换算!$C$5:$C$30,单位换算!$D$5:$D$30),1)</f>
        <v>1</v>
      </c>
      <c r="O26" s="13" t="str">
        <f t="shared" si="0"/>
        <v/>
      </c>
    </row>
    <row r="27" spans="2:15">
      <c r="B27" s="12"/>
      <c r="L27" s="13"/>
      <c r="M27" s="13"/>
      <c r="N27" s="13">
        <f>IFERROR(_xlfn.XLOOKUP(K27&amp;"|"&amp;M27,单位换算!$C$5:$C$30,单位换算!$D$5:$D$30),1)</f>
        <v>1</v>
      </c>
      <c r="O27" s="13" t="str">
        <f t="shared" si="0"/>
        <v/>
      </c>
    </row>
    <row r="28" spans="2:15">
      <c r="B28" s="12"/>
      <c r="L28" s="13"/>
      <c r="M28" s="13"/>
      <c r="N28" s="13">
        <f>IFERROR(_xlfn.XLOOKUP(K28&amp;"|"&amp;M28,单位换算!$C$5:$C$30,单位换算!$D$5:$D$30),1)</f>
        <v>1</v>
      </c>
      <c r="O28" s="13" t="str">
        <f t="shared" si="0"/>
        <v/>
      </c>
    </row>
    <row r="29" spans="2:15">
      <c r="B29" s="12"/>
      <c r="L29" s="13"/>
      <c r="M29" s="13"/>
      <c r="N29" s="13">
        <f>IFERROR(_xlfn.XLOOKUP(K29&amp;"|"&amp;M29,单位换算!$C$5:$C$30,单位换算!$D$5:$D$30),1)</f>
        <v>1</v>
      </c>
      <c r="O29" s="13" t="str">
        <f t="shared" si="0"/>
        <v/>
      </c>
    </row>
    <row r="30" spans="2:15">
      <c r="B30" s="12"/>
      <c r="L30" s="13"/>
      <c r="M30" s="13"/>
      <c r="N30" s="13">
        <f>IFERROR(_xlfn.XLOOKUP(K30&amp;"|"&amp;M30,单位换算!$C$5:$C$30,单位换算!$D$5:$D$30),1)</f>
        <v>1</v>
      </c>
      <c r="O30" s="13" t="str">
        <f t="shared" si="0"/>
        <v/>
      </c>
    </row>
    <row r="31" spans="2:15">
      <c r="B31" s="12"/>
      <c r="L31" s="13"/>
      <c r="M31" s="13"/>
      <c r="N31" s="13">
        <f>IFERROR(_xlfn.XLOOKUP(K31&amp;"|"&amp;M31,单位换算!$C$5:$C$30,单位换算!$D$5:$D$30),1)</f>
        <v>1</v>
      </c>
      <c r="O31" s="13" t="str">
        <f t="shared" si="0"/>
        <v/>
      </c>
    </row>
    <row r="32" spans="2:15">
      <c r="B32" s="12"/>
      <c r="L32" s="13"/>
      <c r="M32" s="13"/>
      <c r="N32" s="13">
        <f>IFERROR(_xlfn.XLOOKUP(K32&amp;"|"&amp;M32,单位换算!$C$5:$C$30,单位换算!$D$5:$D$30),1)</f>
        <v>1</v>
      </c>
      <c r="O32" s="13" t="str">
        <f t="shared" si="0"/>
        <v/>
      </c>
    </row>
    <row r="33" spans="2:15">
      <c r="B33" s="12"/>
      <c r="L33" s="13"/>
      <c r="M33" s="13"/>
      <c r="N33" s="13">
        <f>IFERROR(_xlfn.XLOOKUP(K33&amp;"|"&amp;M33,单位换算!$C$5:$C$30,单位换算!$D$5:$D$30),1)</f>
        <v>1</v>
      </c>
      <c r="O33" s="13" t="str">
        <f t="shared" si="0"/>
        <v/>
      </c>
    </row>
    <row r="34" spans="2:15">
      <c r="B34" s="12"/>
      <c r="L34" s="13"/>
      <c r="M34" s="13"/>
      <c r="N34" s="13">
        <f>IFERROR(_xlfn.XLOOKUP(K34&amp;"|"&amp;M34,单位换算!$C$5:$C$30,单位换算!$D$5:$D$30),1)</f>
        <v>1</v>
      </c>
      <c r="O34" s="13" t="str">
        <f t="shared" si="0"/>
        <v/>
      </c>
    </row>
    <row r="35" spans="2:15">
      <c r="B35" s="12"/>
      <c r="L35" s="13"/>
      <c r="M35" s="13"/>
      <c r="N35" s="13">
        <f>IFERROR(_xlfn.XLOOKUP(K35&amp;"|"&amp;M35,单位换算!$C$5:$C$30,单位换算!$D$5:$D$30),1)</f>
        <v>1</v>
      </c>
      <c r="O35" s="13" t="str">
        <f t="shared" si="0"/>
        <v/>
      </c>
    </row>
    <row r="36" spans="2:15">
      <c r="B36" s="12"/>
      <c r="L36" s="13"/>
      <c r="M36" s="13"/>
      <c r="N36" s="13">
        <f>IFERROR(_xlfn.XLOOKUP(K36&amp;"|"&amp;M36,单位换算!$C$5:$C$30,单位换算!$D$5:$D$30),1)</f>
        <v>1</v>
      </c>
      <c r="O36" s="13" t="str">
        <f t="shared" si="0"/>
        <v/>
      </c>
    </row>
    <row r="37" spans="2:15">
      <c r="B37" s="12"/>
      <c r="L37" s="13"/>
      <c r="M37" s="13"/>
      <c r="N37" s="13">
        <f>IFERROR(_xlfn.XLOOKUP(K37&amp;"|"&amp;M37,单位换算!$C$5:$C$30,单位换算!$D$5:$D$30),1)</f>
        <v>1</v>
      </c>
      <c r="O37" s="13" t="str">
        <f t="shared" si="0"/>
        <v/>
      </c>
    </row>
    <row r="38" spans="2:15">
      <c r="B38" s="12"/>
      <c r="L38" s="13"/>
      <c r="M38" s="13"/>
      <c r="N38" s="13">
        <f>IFERROR(_xlfn.XLOOKUP(K38&amp;"|"&amp;M38,单位换算!$C$5:$C$30,单位换算!$D$5:$D$30),1)</f>
        <v>1</v>
      </c>
      <c r="O38" s="13" t="str">
        <f t="shared" si="0"/>
        <v/>
      </c>
    </row>
    <row r="39" spans="2:15">
      <c r="B39" s="12"/>
      <c r="L39" s="13"/>
      <c r="M39" s="13"/>
      <c r="N39" s="13">
        <f>IFERROR(_xlfn.XLOOKUP(K39&amp;"|"&amp;M39,单位换算!$C$5:$C$30,单位换算!$D$5:$D$30),1)</f>
        <v>1</v>
      </c>
      <c r="O39" s="13" t="str">
        <f t="shared" si="0"/>
        <v/>
      </c>
    </row>
    <row r="40" spans="2:15">
      <c r="B40" s="12"/>
      <c r="L40" s="13"/>
      <c r="M40" s="13"/>
      <c r="N40" s="13">
        <f>IFERROR(_xlfn.XLOOKUP(K40&amp;"|"&amp;M40,单位换算!$C$5:$C$30,单位换算!$D$5:$D$30),1)</f>
        <v>1</v>
      </c>
      <c r="O40" s="13" t="str">
        <f t="shared" si="0"/>
        <v/>
      </c>
    </row>
    <row r="41" spans="2:15">
      <c r="B41" s="12"/>
      <c r="L41" s="13"/>
      <c r="M41" s="13"/>
      <c r="N41" s="13">
        <f>IFERROR(_xlfn.XLOOKUP(K41&amp;"|"&amp;M41,单位换算!$C$5:$C$30,单位换算!$D$5:$D$30),1)</f>
        <v>1</v>
      </c>
      <c r="O41" s="13" t="str">
        <f t="shared" si="0"/>
        <v/>
      </c>
    </row>
    <row r="42" spans="2:15">
      <c r="B42" s="12"/>
      <c r="L42" s="13"/>
      <c r="M42" s="13"/>
      <c r="N42" s="13">
        <f>IFERROR(_xlfn.XLOOKUP(K42&amp;"|"&amp;M42,单位换算!$C$5:$C$30,单位换算!$D$5:$D$30),1)</f>
        <v>1</v>
      </c>
      <c r="O42" s="13" t="str">
        <f t="shared" si="0"/>
        <v/>
      </c>
    </row>
    <row r="43" spans="2:15">
      <c r="B43" s="12"/>
      <c r="L43" s="13"/>
      <c r="M43" s="13"/>
      <c r="N43" s="13">
        <f>IFERROR(_xlfn.XLOOKUP(K43&amp;"|"&amp;M43,单位换算!$C$5:$C$30,单位换算!$D$5:$D$30),1)</f>
        <v>1</v>
      </c>
      <c r="O43" s="13" t="str">
        <f t="shared" si="0"/>
        <v/>
      </c>
    </row>
    <row r="44" spans="2:15">
      <c r="B44" s="12"/>
      <c r="L44" s="13"/>
      <c r="M44" s="13"/>
      <c r="N44" s="13">
        <f>IFERROR(_xlfn.XLOOKUP(K44&amp;"|"&amp;M44,单位换算!$C$5:$C$30,单位换算!$D$5:$D$30),1)</f>
        <v>1</v>
      </c>
      <c r="O44" s="13" t="str">
        <f t="shared" si="0"/>
        <v/>
      </c>
    </row>
    <row r="45" spans="2:15">
      <c r="B45" s="12"/>
      <c r="L45" s="13"/>
      <c r="M45" s="13"/>
      <c r="N45" s="13">
        <f>IFERROR(_xlfn.XLOOKUP(K45&amp;"|"&amp;M45,单位换算!$C$5:$C$30,单位换算!$D$5:$D$30),1)</f>
        <v>1</v>
      </c>
      <c r="O45" s="13" t="str">
        <f t="shared" si="0"/>
        <v/>
      </c>
    </row>
    <row r="46" spans="2:15">
      <c r="B46" s="12"/>
      <c r="L46" s="13"/>
      <c r="M46" s="13"/>
      <c r="N46" s="13">
        <f>IFERROR(_xlfn.XLOOKUP(K46&amp;"|"&amp;M46,单位换算!$C$5:$C$30,单位换算!$D$5:$D$30),1)</f>
        <v>1</v>
      </c>
      <c r="O46" s="13" t="str">
        <f t="shared" si="0"/>
        <v/>
      </c>
    </row>
    <row r="47" spans="2:15">
      <c r="B47" s="12"/>
      <c r="L47" s="13"/>
      <c r="M47" s="13"/>
      <c r="N47" s="13">
        <f>IFERROR(_xlfn.XLOOKUP(K47&amp;"|"&amp;M47,单位换算!$C$5:$C$30,单位换算!$D$5:$D$30),1)</f>
        <v>1</v>
      </c>
      <c r="O47" s="13" t="str">
        <f t="shared" si="0"/>
        <v/>
      </c>
    </row>
    <row r="48" spans="2:15">
      <c r="B48" s="12"/>
      <c r="L48" s="13"/>
      <c r="M48" s="13"/>
      <c r="N48" s="13">
        <f>IFERROR(_xlfn.XLOOKUP(K48&amp;"|"&amp;M48,单位换算!$C$5:$C$30,单位换算!$D$5:$D$30),1)</f>
        <v>1</v>
      </c>
      <c r="O48" s="13" t="str">
        <f t="shared" si="0"/>
        <v/>
      </c>
    </row>
    <row r="49" spans="2:15">
      <c r="B49" s="12"/>
      <c r="L49" s="13"/>
      <c r="M49" s="13"/>
      <c r="N49" s="13">
        <f>IFERROR(_xlfn.XLOOKUP(K49&amp;"|"&amp;M49,单位换算!$C$5:$C$30,单位换算!$D$5:$D$30),1)</f>
        <v>1</v>
      </c>
      <c r="O49" s="13" t="str">
        <f t="shared" si="0"/>
        <v/>
      </c>
    </row>
    <row r="50" spans="2:15">
      <c r="B50" s="12"/>
      <c r="L50" s="13"/>
      <c r="M50" s="13"/>
      <c r="N50" s="13">
        <f>IFERROR(_xlfn.XLOOKUP(K50&amp;"|"&amp;M50,单位换算!$C$5:$C$30,单位换算!$D$5:$D$30),1)</f>
        <v>1</v>
      </c>
      <c r="O50" s="13" t="str">
        <f t="shared" si="0"/>
        <v/>
      </c>
    </row>
    <row r="51" spans="2:15">
      <c r="B51" s="12"/>
      <c r="L51" s="13"/>
      <c r="M51" s="13"/>
      <c r="N51" s="13">
        <f>IFERROR(_xlfn.XLOOKUP(K51&amp;"|"&amp;M51,单位换算!$C$5:$C$30,单位换算!$D$5:$D$30),1)</f>
        <v>1</v>
      </c>
      <c r="O51" s="13" t="str">
        <f t="shared" si="0"/>
        <v/>
      </c>
    </row>
    <row r="52" spans="2:15">
      <c r="B52" s="12"/>
      <c r="L52" s="13"/>
      <c r="M52" s="13"/>
      <c r="N52" s="13">
        <f>IFERROR(_xlfn.XLOOKUP(K52&amp;"|"&amp;M52,单位换算!$C$5:$C$30,单位换算!$D$5:$D$30),1)</f>
        <v>1</v>
      </c>
      <c r="O52" s="13" t="str">
        <f t="shared" si="0"/>
        <v/>
      </c>
    </row>
    <row r="53" spans="2:15">
      <c r="B53" s="12"/>
      <c r="L53" s="13"/>
      <c r="M53" s="13"/>
      <c r="N53" s="13">
        <f>IFERROR(_xlfn.XLOOKUP(K53&amp;"|"&amp;M53,单位换算!$C$5:$C$30,单位换算!$D$5:$D$30),1)</f>
        <v>1</v>
      </c>
      <c r="O53" s="13" t="str">
        <f t="shared" si="0"/>
        <v/>
      </c>
    </row>
    <row r="54" spans="2:15">
      <c r="B54" s="12"/>
      <c r="L54" s="13"/>
      <c r="M54" s="13"/>
      <c r="N54" s="13">
        <f>IFERROR(_xlfn.XLOOKUP(K54&amp;"|"&amp;M54,单位换算!$C$5:$C$30,单位换算!$D$5:$D$30),1)</f>
        <v>1</v>
      </c>
      <c r="O54" s="13" t="str">
        <f t="shared" si="0"/>
        <v/>
      </c>
    </row>
    <row r="55" spans="2:15">
      <c r="B55" s="12"/>
      <c r="L55" s="13"/>
      <c r="M55" s="13"/>
      <c r="N55" s="13">
        <f>IFERROR(_xlfn.XLOOKUP(K55&amp;"|"&amp;M55,单位换算!$C$5:$C$30,单位换算!$D$5:$D$30),1)</f>
        <v>1</v>
      </c>
      <c r="O55" s="13" t="str">
        <f t="shared" si="0"/>
        <v/>
      </c>
    </row>
    <row r="56" spans="2:15">
      <c r="B56" s="12"/>
      <c r="L56" s="13"/>
      <c r="M56" s="13"/>
      <c r="N56" s="13">
        <f>IFERROR(_xlfn.XLOOKUP(K56&amp;"|"&amp;M56,单位换算!$C$5:$C$30,单位换算!$D$5:$D$30),1)</f>
        <v>1</v>
      </c>
      <c r="O56" s="13" t="str">
        <f t="shared" si="0"/>
        <v/>
      </c>
    </row>
    <row r="57" spans="2:15">
      <c r="B57" s="12"/>
      <c r="L57" s="13"/>
      <c r="M57" s="13"/>
      <c r="N57" s="13">
        <f>IFERROR(_xlfn.XLOOKUP(K57&amp;"|"&amp;M57,单位换算!$C$5:$C$30,单位换算!$D$5:$D$30),1)</f>
        <v>1</v>
      </c>
      <c r="O57" s="13" t="str">
        <f t="shared" si="0"/>
        <v/>
      </c>
    </row>
    <row r="58" spans="2:15">
      <c r="B58" s="12"/>
      <c r="L58" s="13"/>
      <c r="M58" s="13"/>
      <c r="N58" s="13">
        <f>IFERROR(_xlfn.XLOOKUP(K58&amp;"|"&amp;M58,单位换算!$C$5:$C$30,单位换算!$D$5:$D$30),1)</f>
        <v>1</v>
      </c>
      <c r="O58" s="13" t="str">
        <f t="shared" si="0"/>
        <v/>
      </c>
    </row>
    <row r="59" spans="2:15">
      <c r="B59" s="12"/>
      <c r="L59" s="13"/>
      <c r="M59" s="13"/>
      <c r="N59" s="13">
        <f>IFERROR(_xlfn.XLOOKUP(K59&amp;"|"&amp;M59,单位换算!$C$5:$C$30,单位换算!$D$5:$D$30),1)</f>
        <v>1</v>
      </c>
      <c r="O59" s="13" t="str">
        <f t="shared" si="0"/>
        <v/>
      </c>
    </row>
    <row r="60" spans="2:15">
      <c r="B60" s="12"/>
      <c r="L60" s="13"/>
      <c r="M60" s="13"/>
      <c r="N60" s="13">
        <f>IFERROR(_xlfn.XLOOKUP(K60&amp;"|"&amp;M60,单位换算!$C$5:$C$30,单位换算!$D$5:$D$30),1)</f>
        <v>1</v>
      </c>
      <c r="O60" s="13" t="str">
        <f t="shared" si="0"/>
        <v/>
      </c>
    </row>
    <row r="61" spans="2:15">
      <c r="B61" s="12"/>
      <c r="L61" s="13"/>
      <c r="M61" s="13"/>
      <c r="N61" s="13">
        <f>IFERROR(_xlfn.XLOOKUP(K61&amp;"|"&amp;M61,单位换算!$C$5:$C$30,单位换算!$D$5:$D$30),1)</f>
        <v>1</v>
      </c>
      <c r="O61" s="13" t="str">
        <f t="shared" si="0"/>
        <v/>
      </c>
    </row>
    <row r="62" spans="2:15">
      <c r="B62" s="12"/>
      <c r="L62" s="13"/>
      <c r="M62" s="13"/>
      <c r="N62" s="13">
        <f>IFERROR(_xlfn.XLOOKUP(K62&amp;"|"&amp;M62,单位换算!$C$5:$C$30,单位换算!$D$5:$D$30),1)</f>
        <v>1</v>
      </c>
      <c r="O62" s="13" t="str">
        <f t="shared" si="0"/>
        <v/>
      </c>
    </row>
    <row r="63" spans="2:15">
      <c r="B63" s="12"/>
      <c r="L63" s="13"/>
      <c r="M63" s="13"/>
      <c r="N63" s="13">
        <f>IFERROR(_xlfn.XLOOKUP(K63&amp;"|"&amp;M63,单位换算!$C$5:$C$30,单位换算!$D$5:$D$30),1)</f>
        <v>1</v>
      </c>
      <c r="O63" s="13" t="str">
        <f t="shared" si="0"/>
        <v/>
      </c>
    </row>
    <row r="64" spans="2:15">
      <c r="B64" s="12"/>
      <c r="L64" s="13"/>
      <c r="M64" s="13"/>
      <c r="N64" s="13">
        <f>IFERROR(_xlfn.XLOOKUP(K64&amp;"|"&amp;M64,单位换算!$C$5:$C$30,单位换算!$D$5:$D$30),1)</f>
        <v>1</v>
      </c>
      <c r="O64" s="13" t="str">
        <f t="shared" si="0"/>
        <v/>
      </c>
    </row>
    <row r="65" spans="2:15">
      <c r="B65" s="12"/>
      <c r="L65" s="13"/>
      <c r="M65" s="13"/>
      <c r="N65" s="13">
        <f>IFERROR(_xlfn.XLOOKUP(K65&amp;"|"&amp;M65,单位换算!$C$5:$C$30,单位换算!$D$5:$D$30),1)</f>
        <v>1</v>
      </c>
      <c r="O65" s="13" t="str">
        <f t="shared" si="0"/>
        <v/>
      </c>
    </row>
    <row r="66" spans="2:15">
      <c r="B66" s="12"/>
      <c r="L66" s="13"/>
      <c r="M66" s="13"/>
      <c r="N66" s="13">
        <f>IFERROR(_xlfn.XLOOKUP(K66&amp;"|"&amp;M66,单位换算!$C$5:$C$30,单位换算!$D$5:$D$30),1)</f>
        <v>1</v>
      </c>
      <c r="O66" s="13" t="str">
        <f t="shared" si="0"/>
        <v/>
      </c>
    </row>
    <row r="67" spans="2:15">
      <c r="B67" s="12"/>
      <c r="L67" s="13"/>
      <c r="M67" s="13"/>
      <c r="N67" s="13">
        <f>IFERROR(_xlfn.XLOOKUP(K67&amp;"|"&amp;M67,单位换算!$C$5:$C$30,单位换算!$D$5:$D$30),1)</f>
        <v>1</v>
      </c>
      <c r="O67" s="13" t="str">
        <f t="shared" si="0"/>
        <v/>
      </c>
    </row>
    <row r="68" spans="2:15">
      <c r="B68" s="12"/>
      <c r="L68" s="13"/>
      <c r="M68" s="13"/>
      <c r="N68" s="13">
        <f>IFERROR(_xlfn.XLOOKUP(K68&amp;"|"&amp;M68,单位换算!$C$5:$C$30,单位换算!$D$5:$D$30),1)</f>
        <v>1</v>
      </c>
      <c r="O68" s="13" t="str">
        <f t="shared" si="0"/>
        <v/>
      </c>
    </row>
    <row r="69" spans="2:15">
      <c r="B69" s="12"/>
      <c r="L69" s="13"/>
      <c r="M69" s="13"/>
      <c r="N69" s="13">
        <f>IFERROR(_xlfn.XLOOKUP(K69&amp;"|"&amp;M69,单位换算!$C$5:$C$30,单位换算!$D$5:$D$30),1)</f>
        <v>1</v>
      </c>
      <c r="O69" s="13" t="str">
        <f t="shared" ref="O69:O132" si="1">IF(L69="","",L69*N69)</f>
        <v/>
      </c>
    </row>
    <row r="70" spans="2:15">
      <c r="B70" s="12"/>
      <c r="L70" s="13"/>
      <c r="M70" s="13"/>
      <c r="N70" s="13">
        <f>IFERROR(_xlfn.XLOOKUP(K70&amp;"|"&amp;M70,单位换算!$C$5:$C$30,单位换算!$D$5:$D$30),1)</f>
        <v>1</v>
      </c>
      <c r="O70" s="13" t="str">
        <f t="shared" si="1"/>
        <v/>
      </c>
    </row>
    <row r="71" spans="2:15">
      <c r="B71" s="12"/>
      <c r="L71" s="13"/>
      <c r="M71" s="13"/>
      <c r="N71" s="13">
        <f>IFERROR(_xlfn.XLOOKUP(K71&amp;"|"&amp;M71,单位换算!$C$5:$C$30,单位换算!$D$5:$D$30),1)</f>
        <v>1</v>
      </c>
      <c r="O71" s="13" t="str">
        <f t="shared" si="1"/>
        <v/>
      </c>
    </row>
    <row r="72" spans="2:15">
      <c r="B72" s="12"/>
      <c r="L72" s="13"/>
      <c r="M72" s="13"/>
      <c r="N72" s="13">
        <f>IFERROR(_xlfn.XLOOKUP(K72&amp;"|"&amp;M72,单位换算!$C$5:$C$30,单位换算!$D$5:$D$30),1)</f>
        <v>1</v>
      </c>
      <c r="O72" s="13" t="str">
        <f t="shared" si="1"/>
        <v/>
      </c>
    </row>
    <row r="73" spans="2:15">
      <c r="B73" s="12"/>
      <c r="L73" s="13"/>
      <c r="M73" s="13"/>
      <c r="N73" s="13">
        <f>IFERROR(_xlfn.XLOOKUP(K73&amp;"|"&amp;M73,单位换算!$C$5:$C$30,单位换算!$D$5:$D$30),1)</f>
        <v>1</v>
      </c>
      <c r="O73" s="13" t="str">
        <f t="shared" si="1"/>
        <v/>
      </c>
    </row>
    <row r="74" spans="2:15">
      <c r="B74" s="12"/>
      <c r="L74" s="13"/>
      <c r="M74" s="13"/>
      <c r="N74" s="13">
        <f>IFERROR(_xlfn.XLOOKUP(K74&amp;"|"&amp;M74,单位换算!$C$5:$C$30,单位换算!$D$5:$D$30),1)</f>
        <v>1</v>
      </c>
      <c r="O74" s="13" t="str">
        <f t="shared" si="1"/>
        <v/>
      </c>
    </row>
    <row r="75" spans="2:15">
      <c r="B75" s="12"/>
      <c r="L75" s="13"/>
      <c r="M75" s="13"/>
      <c r="N75" s="13">
        <f>IFERROR(_xlfn.XLOOKUP(K75&amp;"|"&amp;M75,单位换算!$C$5:$C$30,单位换算!$D$5:$D$30),1)</f>
        <v>1</v>
      </c>
      <c r="O75" s="13" t="str">
        <f t="shared" si="1"/>
        <v/>
      </c>
    </row>
    <row r="76" spans="2:15">
      <c r="B76" s="12"/>
      <c r="L76" s="13"/>
      <c r="M76" s="13"/>
      <c r="N76" s="13">
        <f>IFERROR(_xlfn.XLOOKUP(K76&amp;"|"&amp;M76,单位换算!$C$5:$C$30,单位换算!$D$5:$D$30),1)</f>
        <v>1</v>
      </c>
      <c r="O76" s="13" t="str">
        <f t="shared" si="1"/>
        <v/>
      </c>
    </row>
    <row r="77" spans="2:15">
      <c r="B77" s="12"/>
      <c r="L77" s="13"/>
      <c r="M77" s="13"/>
      <c r="N77" s="13">
        <f>IFERROR(_xlfn.XLOOKUP(K77&amp;"|"&amp;M77,单位换算!$C$5:$C$30,单位换算!$D$5:$D$30),1)</f>
        <v>1</v>
      </c>
      <c r="O77" s="13" t="str">
        <f t="shared" si="1"/>
        <v/>
      </c>
    </row>
    <row r="78" spans="2:15">
      <c r="B78" s="12"/>
      <c r="L78" s="13"/>
      <c r="M78" s="13"/>
      <c r="N78" s="13">
        <f>IFERROR(_xlfn.XLOOKUP(K78&amp;"|"&amp;M78,单位换算!$C$5:$C$30,单位换算!$D$5:$D$30),1)</f>
        <v>1</v>
      </c>
      <c r="O78" s="13" t="str">
        <f t="shared" si="1"/>
        <v/>
      </c>
    </row>
    <row r="79" spans="2:15">
      <c r="B79" s="12"/>
      <c r="L79" s="13"/>
      <c r="M79" s="13"/>
      <c r="N79" s="13">
        <f>IFERROR(_xlfn.XLOOKUP(K79&amp;"|"&amp;M79,单位换算!$C$5:$C$30,单位换算!$D$5:$D$30),1)</f>
        <v>1</v>
      </c>
      <c r="O79" s="13" t="str">
        <f t="shared" si="1"/>
        <v/>
      </c>
    </row>
    <row r="80" spans="2:15">
      <c r="B80" s="12"/>
      <c r="L80" s="13"/>
      <c r="M80" s="13"/>
      <c r="N80" s="13">
        <f>IFERROR(_xlfn.XLOOKUP(K80&amp;"|"&amp;M80,单位换算!$C$5:$C$30,单位换算!$D$5:$D$30),1)</f>
        <v>1</v>
      </c>
      <c r="O80" s="13" t="str">
        <f t="shared" si="1"/>
        <v/>
      </c>
    </row>
    <row r="81" spans="2:15">
      <c r="B81" s="12"/>
      <c r="L81" s="13"/>
      <c r="M81" s="13"/>
      <c r="N81" s="13">
        <f>IFERROR(_xlfn.XLOOKUP(K81&amp;"|"&amp;M81,单位换算!$C$5:$C$30,单位换算!$D$5:$D$30),1)</f>
        <v>1</v>
      </c>
      <c r="O81" s="13" t="str">
        <f t="shared" si="1"/>
        <v/>
      </c>
    </row>
    <row r="82" spans="2:15">
      <c r="B82" s="12"/>
      <c r="L82" s="13"/>
      <c r="M82" s="13"/>
      <c r="N82" s="13">
        <f>IFERROR(_xlfn.XLOOKUP(K82&amp;"|"&amp;M82,单位换算!$C$5:$C$30,单位换算!$D$5:$D$30),1)</f>
        <v>1</v>
      </c>
      <c r="O82" s="13" t="str">
        <f t="shared" si="1"/>
        <v/>
      </c>
    </row>
    <row r="83" spans="2:15">
      <c r="B83" s="12"/>
      <c r="L83" s="13"/>
      <c r="M83" s="13"/>
      <c r="N83" s="13">
        <f>IFERROR(_xlfn.XLOOKUP(K83&amp;"|"&amp;M83,单位换算!$C$5:$C$30,单位换算!$D$5:$D$30),1)</f>
        <v>1</v>
      </c>
      <c r="O83" s="13" t="str">
        <f t="shared" si="1"/>
        <v/>
      </c>
    </row>
    <row r="84" spans="2:15">
      <c r="B84" s="12"/>
      <c r="L84" s="13"/>
      <c r="M84" s="13"/>
      <c r="N84" s="13">
        <f>IFERROR(_xlfn.XLOOKUP(K84&amp;"|"&amp;M84,单位换算!$C$5:$C$30,单位换算!$D$5:$D$30),1)</f>
        <v>1</v>
      </c>
      <c r="O84" s="13" t="str">
        <f t="shared" si="1"/>
        <v/>
      </c>
    </row>
    <row r="85" spans="2:15">
      <c r="B85" s="12"/>
      <c r="L85" s="13"/>
      <c r="M85" s="13"/>
      <c r="N85" s="13">
        <f>IFERROR(_xlfn.XLOOKUP(K85&amp;"|"&amp;M85,单位换算!$C$5:$C$30,单位换算!$D$5:$D$30),1)</f>
        <v>1</v>
      </c>
      <c r="O85" s="13" t="str">
        <f t="shared" si="1"/>
        <v/>
      </c>
    </row>
    <row r="86" spans="2:15">
      <c r="B86" s="12"/>
      <c r="L86" s="13"/>
      <c r="M86" s="13"/>
      <c r="N86" s="13">
        <f>IFERROR(_xlfn.XLOOKUP(K86&amp;"|"&amp;M86,单位换算!$C$5:$C$30,单位换算!$D$5:$D$30),1)</f>
        <v>1</v>
      </c>
      <c r="O86" s="13" t="str">
        <f t="shared" si="1"/>
        <v/>
      </c>
    </row>
    <row r="87" spans="2:15">
      <c r="B87" s="12"/>
      <c r="L87" s="13"/>
      <c r="M87" s="13"/>
      <c r="N87" s="13">
        <f>IFERROR(_xlfn.XLOOKUP(K87&amp;"|"&amp;M87,单位换算!$C$5:$C$30,单位换算!$D$5:$D$30),1)</f>
        <v>1</v>
      </c>
      <c r="O87" s="13" t="str">
        <f t="shared" si="1"/>
        <v/>
      </c>
    </row>
    <row r="88" spans="2:15">
      <c r="B88" s="12"/>
      <c r="L88" s="13"/>
      <c r="M88" s="13"/>
      <c r="N88" s="13">
        <f>IFERROR(_xlfn.XLOOKUP(K88&amp;"|"&amp;M88,单位换算!$C$5:$C$30,单位换算!$D$5:$D$30),1)</f>
        <v>1</v>
      </c>
      <c r="O88" s="13" t="str">
        <f t="shared" si="1"/>
        <v/>
      </c>
    </row>
    <row r="89" spans="2:15">
      <c r="B89" s="12"/>
      <c r="L89" s="13"/>
      <c r="M89" s="13"/>
      <c r="N89" s="13">
        <f>IFERROR(_xlfn.XLOOKUP(K89&amp;"|"&amp;M89,单位换算!$C$5:$C$30,单位换算!$D$5:$D$30),1)</f>
        <v>1</v>
      </c>
      <c r="O89" s="13" t="str">
        <f t="shared" si="1"/>
        <v/>
      </c>
    </row>
    <row r="90" spans="2:15">
      <c r="B90" s="12"/>
      <c r="L90" s="13"/>
      <c r="M90" s="13"/>
      <c r="N90" s="13">
        <f>IFERROR(_xlfn.XLOOKUP(K90&amp;"|"&amp;M90,单位换算!$C$5:$C$30,单位换算!$D$5:$D$30),1)</f>
        <v>1</v>
      </c>
      <c r="O90" s="13" t="str">
        <f t="shared" si="1"/>
        <v/>
      </c>
    </row>
    <row r="91" spans="2:15">
      <c r="B91" s="12"/>
      <c r="L91" s="13"/>
      <c r="M91" s="13"/>
      <c r="N91" s="13">
        <f>IFERROR(_xlfn.XLOOKUP(K91&amp;"|"&amp;M91,单位换算!$C$5:$C$30,单位换算!$D$5:$D$30),1)</f>
        <v>1</v>
      </c>
      <c r="O91" s="13" t="str">
        <f t="shared" si="1"/>
        <v/>
      </c>
    </row>
    <row r="92" spans="2:15">
      <c r="B92" s="12"/>
      <c r="L92" s="13"/>
      <c r="M92" s="13"/>
      <c r="N92" s="13">
        <f>IFERROR(_xlfn.XLOOKUP(K92&amp;"|"&amp;M92,单位换算!$C$5:$C$30,单位换算!$D$5:$D$30),1)</f>
        <v>1</v>
      </c>
      <c r="O92" s="13" t="str">
        <f t="shared" si="1"/>
        <v/>
      </c>
    </row>
    <row r="93" spans="2:15">
      <c r="B93" s="12"/>
      <c r="L93" s="13"/>
      <c r="M93" s="13"/>
      <c r="N93" s="13">
        <f>IFERROR(_xlfn.XLOOKUP(K93&amp;"|"&amp;M93,单位换算!$C$5:$C$30,单位换算!$D$5:$D$30),1)</f>
        <v>1</v>
      </c>
      <c r="O93" s="13" t="str">
        <f t="shared" si="1"/>
        <v/>
      </c>
    </row>
    <row r="94" spans="2:15">
      <c r="B94" s="12"/>
      <c r="L94" s="13"/>
      <c r="M94" s="13"/>
      <c r="N94" s="13">
        <f>IFERROR(_xlfn.XLOOKUP(K94&amp;"|"&amp;M94,单位换算!$C$5:$C$30,单位换算!$D$5:$D$30),1)</f>
        <v>1</v>
      </c>
      <c r="O94" s="13" t="str">
        <f t="shared" si="1"/>
        <v/>
      </c>
    </row>
    <row r="95" spans="2:15">
      <c r="B95" s="12"/>
      <c r="L95" s="13"/>
      <c r="M95" s="13"/>
      <c r="N95" s="13">
        <f>IFERROR(_xlfn.XLOOKUP(K95&amp;"|"&amp;M95,单位换算!$C$5:$C$30,单位换算!$D$5:$D$30),1)</f>
        <v>1</v>
      </c>
      <c r="O95" s="13" t="str">
        <f t="shared" si="1"/>
        <v/>
      </c>
    </row>
    <row r="96" spans="2:15">
      <c r="B96" s="12"/>
      <c r="L96" s="13"/>
      <c r="M96" s="13"/>
      <c r="N96" s="13">
        <f>IFERROR(_xlfn.XLOOKUP(K96&amp;"|"&amp;M96,单位换算!$C$5:$C$30,单位换算!$D$5:$D$30),1)</f>
        <v>1</v>
      </c>
      <c r="O96" s="13" t="str">
        <f t="shared" si="1"/>
        <v/>
      </c>
    </row>
    <row r="97" spans="2:15">
      <c r="B97" s="12"/>
      <c r="L97" s="13"/>
      <c r="M97" s="13"/>
      <c r="N97" s="13">
        <f>IFERROR(_xlfn.XLOOKUP(K97&amp;"|"&amp;M97,单位换算!$C$5:$C$30,单位换算!$D$5:$D$30),1)</f>
        <v>1</v>
      </c>
      <c r="O97" s="13" t="str">
        <f t="shared" si="1"/>
        <v/>
      </c>
    </row>
    <row r="98" spans="2:15">
      <c r="B98" s="12"/>
      <c r="L98" s="13"/>
      <c r="M98" s="13"/>
      <c r="N98" s="13">
        <f>IFERROR(_xlfn.XLOOKUP(K98&amp;"|"&amp;M98,单位换算!$C$5:$C$30,单位换算!$D$5:$D$30),1)</f>
        <v>1</v>
      </c>
      <c r="O98" s="13" t="str">
        <f t="shared" si="1"/>
        <v/>
      </c>
    </row>
    <row r="99" spans="2:15">
      <c r="B99" s="12"/>
      <c r="L99" s="13"/>
      <c r="M99" s="13"/>
      <c r="N99" s="13">
        <f>IFERROR(_xlfn.XLOOKUP(K99&amp;"|"&amp;M99,单位换算!$C$5:$C$30,单位换算!$D$5:$D$30),1)</f>
        <v>1</v>
      </c>
      <c r="O99" s="13" t="str">
        <f t="shared" si="1"/>
        <v/>
      </c>
    </row>
    <row r="100" spans="2:15">
      <c r="B100" s="12"/>
      <c r="L100" s="13"/>
      <c r="M100" s="13"/>
      <c r="N100" s="13">
        <f>IFERROR(_xlfn.XLOOKUP(K100&amp;"|"&amp;M100,单位换算!$C$5:$C$30,单位换算!$D$5:$D$30),1)</f>
        <v>1</v>
      </c>
      <c r="O100" s="13" t="str">
        <f t="shared" si="1"/>
        <v/>
      </c>
    </row>
    <row r="101" spans="2:15">
      <c r="B101" s="12"/>
      <c r="L101" s="13"/>
      <c r="M101" s="13"/>
      <c r="N101" s="13">
        <f>IFERROR(_xlfn.XLOOKUP(K101&amp;"|"&amp;M101,单位换算!$C$5:$C$30,单位换算!$D$5:$D$30),1)</f>
        <v>1</v>
      </c>
      <c r="O101" s="13" t="str">
        <f t="shared" si="1"/>
        <v/>
      </c>
    </row>
    <row r="102" spans="2:15">
      <c r="B102" s="12"/>
      <c r="L102" s="13"/>
      <c r="M102" s="13"/>
      <c r="N102" s="13">
        <f>IFERROR(_xlfn.XLOOKUP(K102&amp;"|"&amp;M102,单位换算!$C$5:$C$30,单位换算!$D$5:$D$30),1)</f>
        <v>1</v>
      </c>
      <c r="O102" s="13" t="str">
        <f t="shared" si="1"/>
        <v/>
      </c>
    </row>
    <row r="103" spans="2:15">
      <c r="B103" s="12"/>
      <c r="L103" s="13"/>
      <c r="M103" s="13"/>
      <c r="N103" s="13">
        <f>IFERROR(_xlfn.XLOOKUP(K103&amp;"|"&amp;M103,单位换算!$C$5:$C$30,单位换算!$D$5:$D$30),1)</f>
        <v>1</v>
      </c>
      <c r="O103" s="13" t="str">
        <f t="shared" si="1"/>
        <v/>
      </c>
    </row>
    <row r="104" spans="2:15">
      <c r="B104" s="12"/>
      <c r="L104" s="13"/>
      <c r="M104" s="13"/>
      <c r="N104" s="13">
        <f>IFERROR(_xlfn.XLOOKUP(K104&amp;"|"&amp;M104,单位换算!$C$5:$C$30,单位换算!$D$5:$D$30),1)</f>
        <v>1</v>
      </c>
      <c r="O104" s="13" t="str">
        <f t="shared" si="1"/>
        <v/>
      </c>
    </row>
    <row r="105" spans="2:15">
      <c r="B105" s="12"/>
      <c r="L105" s="13"/>
      <c r="M105" s="13"/>
      <c r="N105" s="13">
        <f>IFERROR(_xlfn.XLOOKUP(K105&amp;"|"&amp;M105,单位换算!$C$5:$C$30,单位换算!$D$5:$D$30),1)</f>
        <v>1</v>
      </c>
      <c r="O105" s="13" t="str">
        <f t="shared" si="1"/>
        <v/>
      </c>
    </row>
    <row r="106" spans="2:15">
      <c r="B106" s="12"/>
      <c r="L106" s="13"/>
      <c r="M106" s="13"/>
      <c r="N106" s="13">
        <f>IFERROR(_xlfn.XLOOKUP(K106&amp;"|"&amp;M106,单位换算!$C$5:$C$30,单位换算!$D$5:$D$30),1)</f>
        <v>1</v>
      </c>
      <c r="O106" s="13" t="str">
        <f t="shared" si="1"/>
        <v/>
      </c>
    </row>
    <row r="107" spans="2:15">
      <c r="B107" s="12"/>
      <c r="L107" s="13"/>
      <c r="M107" s="13"/>
      <c r="N107" s="13">
        <f>IFERROR(_xlfn.XLOOKUP(K107&amp;"|"&amp;M107,单位换算!$C$5:$C$30,单位换算!$D$5:$D$30),1)</f>
        <v>1</v>
      </c>
      <c r="O107" s="13" t="str">
        <f t="shared" si="1"/>
        <v/>
      </c>
    </row>
    <row r="108" spans="2:15">
      <c r="B108" s="12"/>
      <c r="L108" s="13"/>
      <c r="M108" s="13"/>
      <c r="N108" s="13">
        <f>IFERROR(_xlfn.XLOOKUP(K108&amp;"|"&amp;M108,单位换算!$C$5:$C$30,单位换算!$D$5:$D$30),1)</f>
        <v>1</v>
      </c>
      <c r="O108" s="13" t="str">
        <f t="shared" si="1"/>
        <v/>
      </c>
    </row>
    <row r="109" spans="2:15">
      <c r="B109" s="12"/>
      <c r="L109" s="13"/>
      <c r="M109" s="13"/>
      <c r="N109" s="13">
        <f>IFERROR(_xlfn.XLOOKUP(K109&amp;"|"&amp;M109,单位换算!$C$5:$C$30,单位换算!$D$5:$D$30),1)</f>
        <v>1</v>
      </c>
      <c r="O109" s="13" t="str">
        <f t="shared" si="1"/>
        <v/>
      </c>
    </row>
    <row r="110" spans="2:15">
      <c r="B110" s="12"/>
      <c r="L110" s="13"/>
      <c r="M110" s="13"/>
      <c r="N110" s="13">
        <f>IFERROR(_xlfn.XLOOKUP(K110&amp;"|"&amp;M110,单位换算!$C$5:$C$30,单位换算!$D$5:$D$30),1)</f>
        <v>1</v>
      </c>
      <c r="O110" s="13" t="str">
        <f t="shared" si="1"/>
        <v/>
      </c>
    </row>
    <row r="111" spans="2:15">
      <c r="B111" s="12"/>
      <c r="L111" s="13"/>
      <c r="M111" s="13"/>
      <c r="N111" s="13">
        <f>IFERROR(_xlfn.XLOOKUP(K111&amp;"|"&amp;M111,单位换算!$C$5:$C$30,单位换算!$D$5:$D$30),1)</f>
        <v>1</v>
      </c>
      <c r="O111" s="13" t="str">
        <f t="shared" si="1"/>
        <v/>
      </c>
    </row>
    <row r="112" spans="2:15">
      <c r="B112" s="12"/>
      <c r="L112" s="13"/>
      <c r="M112" s="13"/>
      <c r="N112" s="13">
        <f>IFERROR(_xlfn.XLOOKUP(K112&amp;"|"&amp;M112,单位换算!$C$5:$C$30,单位换算!$D$5:$D$30),1)</f>
        <v>1</v>
      </c>
      <c r="O112" s="13" t="str">
        <f t="shared" si="1"/>
        <v/>
      </c>
    </row>
    <row r="113" spans="2:15">
      <c r="B113" s="12"/>
      <c r="L113" s="13"/>
      <c r="M113" s="13"/>
      <c r="N113" s="13">
        <f>IFERROR(_xlfn.XLOOKUP(K113&amp;"|"&amp;M113,单位换算!$C$5:$C$30,单位换算!$D$5:$D$30),1)</f>
        <v>1</v>
      </c>
      <c r="O113" s="13" t="str">
        <f t="shared" si="1"/>
        <v/>
      </c>
    </row>
    <row r="114" spans="2:15">
      <c r="B114" s="12"/>
      <c r="L114" s="13"/>
      <c r="M114" s="13"/>
      <c r="N114" s="13">
        <f>IFERROR(_xlfn.XLOOKUP(K114&amp;"|"&amp;M114,单位换算!$C$5:$C$30,单位换算!$D$5:$D$30),1)</f>
        <v>1</v>
      </c>
      <c r="O114" s="13" t="str">
        <f t="shared" si="1"/>
        <v/>
      </c>
    </row>
    <row r="115" spans="2:15">
      <c r="B115" s="12"/>
      <c r="L115" s="13"/>
      <c r="M115" s="13"/>
      <c r="N115" s="13">
        <f>IFERROR(_xlfn.XLOOKUP(K115&amp;"|"&amp;M115,单位换算!$C$5:$C$30,单位换算!$D$5:$D$30),1)</f>
        <v>1</v>
      </c>
      <c r="O115" s="13" t="str">
        <f t="shared" si="1"/>
        <v/>
      </c>
    </row>
    <row r="116" spans="2:15">
      <c r="B116" s="12"/>
      <c r="L116" s="13"/>
      <c r="M116" s="13"/>
      <c r="N116" s="13">
        <f>IFERROR(_xlfn.XLOOKUP(K116&amp;"|"&amp;M116,单位换算!$C$5:$C$30,单位换算!$D$5:$D$30),1)</f>
        <v>1</v>
      </c>
      <c r="O116" s="13" t="str">
        <f t="shared" si="1"/>
        <v/>
      </c>
    </row>
    <row r="117" spans="2:15">
      <c r="B117" s="12"/>
      <c r="L117" s="13"/>
      <c r="M117" s="13"/>
      <c r="N117" s="13">
        <f>IFERROR(_xlfn.XLOOKUP(K117&amp;"|"&amp;M117,单位换算!$C$5:$C$30,单位换算!$D$5:$D$30),1)</f>
        <v>1</v>
      </c>
      <c r="O117" s="13" t="str">
        <f t="shared" si="1"/>
        <v/>
      </c>
    </row>
    <row r="118" spans="2:15">
      <c r="B118" s="12"/>
      <c r="L118" s="13"/>
      <c r="M118" s="13"/>
      <c r="N118" s="13">
        <f>IFERROR(_xlfn.XLOOKUP(K118&amp;"|"&amp;M118,单位换算!$C$5:$C$30,单位换算!$D$5:$D$30),1)</f>
        <v>1</v>
      </c>
      <c r="O118" s="13" t="str">
        <f t="shared" si="1"/>
        <v/>
      </c>
    </row>
    <row r="119" spans="2:15">
      <c r="B119" s="12"/>
      <c r="L119" s="13"/>
      <c r="M119" s="13"/>
      <c r="N119" s="13">
        <f>IFERROR(_xlfn.XLOOKUP(K119&amp;"|"&amp;M119,单位换算!$C$5:$C$30,单位换算!$D$5:$D$30),1)</f>
        <v>1</v>
      </c>
      <c r="O119" s="13" t="str">
        <f t="shared" si="1"/>
        <v/>
      </c>
    </row>
    <row r="120" spans="2:15">
      <c r="B120" s="12"/>
      <c r="L120" s="13"/>
      <c r="M120" s="13"/>
      <c r="N120" s="13">
        <f>IFERROR(_xlfn.XLOOKUP(K120&amp;"|"&amp;M120,单位换算!$C$5:$C$30,单位换算!$D$5:$D$30),1)</f>
        <v>1</v>
      </c>
      <c r="O120" s="13" t="str">
        <f t="shared" si="1"/>
        <v/>
      </c>
    </row>
    <row r="121" spans="2:15">
      <c r="B121" s="12"/>
      <c r="L121" s="13"/>
      <c r="M121" s="13"/>
      <c r="N121" s="13">
        <f>IFERROR(_xlfn.XLOOKUP(K121&amp;"|"&amp;M121,单位换算!$C$5:$C$30,单位换算!$D$5:$D$30),1)</f>
        <v>1</v>
      </c>
      <c r="O121" s="13" t="str">
        <f t="shared" si="1"/>
        <v/>
      </c>
    </row>
    <row r="122" spans="2:15">
      <c r="B122" s="12"/>
      <c r="L122" s="13"/>
      <c r="M122" s="13"/>
      <c r="N122" s="13">
        <f>IFERROR(_xlfn.XLOOKUP(K122&amp;"|"&amp;M122,单位换算!$C$5:$C$30,单位换算!$D$5:$D$30),1)</f>
        <v>1</v>
      </c>
      <c r="O122" s="13" t="str">
        <f t="shared" si="1"/>
        <v/>
      </c>
    </row>
    <row r="123" spans="2:15">
      <c r="B123" s="12"/>
      <c r="L123" s="13"/>
      <c r="M123" s="13"/>
      <c r="N123" s="13">
        <f>IFERROR(_xlfn.XLOOKUP(K123&amp;"|"&amp;M123,单位换算!$C$5:$C$30,单位换算!$D$5:$D$30),1)</f>
        <v>1</v>
      </c>
      <c r="O123" s="13" t="str">
        <f t="shared" si="1"/>
        <v/>
      </c>
    </row>
    <row r="124" spans="2:15">
      <c r="B124" s="12"/>
      <c r="L124" s="13"/>
      <c r="M124" s="13"/>
      <c r="N124" s="13">
        <f>IFERROR(_xlfn.XLOOKUP(K124&amp;"|"&amp;M124,单位换算!$C$5:$C$30,单位换算!$D$5:$D$30),1)</f>
        <v>1</v>
      </c>
      <c r="O124" s="13" t="str">
        <f t="shared" si="1"/>
        <v/>
      </c>
    </row>
    <row r="125" spans="2:15">
      <c r="B125" s="12"/>
      <c r="L125" s="13"/>
      <c r="M125" s="13"/>
      <c r="N125" s="13">
        <f>IFERROR(_xlfn.XLOOKUP(K125&amp;"|"&amp;M125,单位换算!$C$5:$C$30,单位换算!$D$5:$D$30),1)</f>
        <v>1</v>
      </c>
      <c r="O125" s="13" t="str">
        <f t="shared" si="1"/>
        <v/>
      </c>
    </row>
    <row r="126" spans="2:15">
      <c r="B126" s="12"/>
      <c r="L126" s="13"/>
      <c r="M126" s="13"/>
      <c r="N126" s="13">
        <f>IFERROR(_xlfn.XLOOKUP(K126&amp;"|"&amp;M126,单位换算!$C$5:$C$30,单位换算!$D$5:$D$30),1)</f>
        <v>1</v>
      </c>
      <c r="O126" s="13" t="str">
        <f t="shared" si="1"/>
        <v/>
      </c>
    </row>
    <row r="127" spans="2:15">
      <c r="B127" s="12"/>
      <c r="L127" s="13"/>
      <c r="M127" s="13"/>
      <c r="N127" s="13">
        <f>IFERROR(_xlfn.XLOOKUP(K127&amp;"|"&amp;M127,单位换算!$C$5:$C$30,单位换算!$D$5:$D$30),1)</f>
        <v>1</v>
      </c>
      <c r="O127" s="13" t="str">
        <f t="shared" si="1"/>
        <v/>
      </c>
    </row>
    <row r="128" spans="2:15">
      <c r="B128" s="12"/>
      <c r="L128" s="13"/>
      <c r="M128" s="13"/>
      <c r="N128" s="13">
        <f>IFERROR(_xlfn.XLOOKUP(K128&amp;"|"&amp;M128,单位换算!$C$5:$C$30,单位换算!$D$5:$D$30),1)</f>
        <v>1</v>
      </c>
      <c r="O128" s="13" t="str">
        <f t="shared" si="1"/>
        <v/>
      </c>
    </row>
    <row r="129" spans="2:15">
      <c r="B129" s="12"/>
      <c r="L129" s="13"/>
      <c r="M129" s="13"/>
      <c r="N129" s="13">
        <f>IFERROR(_xlfn.XLOOKUP(K129&amp;"|"&amp;M129,单位换算!$C$5:$C$30,单位换算!$D$5:$D$30),1)</f>
        <v>1</v>
      </c>
      <c r="O129" s="13" t="str">
        <f t="shared" si="1"/>
        <v/>
      </c>
    </row>
    <row r="130" spans="2:15">
      <c r="B130" s="12"/>
      <c r="L130" s="13"/>
      <c r="M130" s="13"/>
      <c r="N130" s="13">
        <f>IFERROR(_xlfn.XLOOKUP(K130&amp;"|"&amp;M130,单位换算!$C$5:$C$30,单位换算!$D$5:$D$30),1)</f>
        <v>1</v>
      </c>
      <c r="O130" s="13" t="str">
        <f t="shared" si="1"/>
        <v/>
      </c>
    </row>
    <row r="131" spans="2:15">
      <c r="B131" s="12"/>
      <c r="L131" s="13"/>
      <c r="M131" s="13"/>
      <c r="N131" s="13">
        <f>IFERROR(_xlfn.XLOOKUP(K131&amp;"|"&amp;M131,单位换算!$C$5:$C$30,单位换算!$D$5:$D$30),1)</f>
        <v>1</v>
      </c>
      <c r="O131" s="13" t="str">
        <f t="shared" si="1"/>
        <v/>
      </c>
    </row>
    <row r="132" spans="2:15">
      <c r="B132" s="12"/>
      <c r="L132" s="13"/>
      <c r="M132" s="13"/>
      <c r="N132" s="13">
        <f>IFERROR(_xlfn.XLOOKUP(K132&amp;"|"&amp;M132,单位换算!$C$5:$C$30,单位换算!$D$5:$D$30),1)</f>
        <v>1</v>
      </c>
      <c r="O132" s="13" t="str">
        <f t="shared" si="1"/>
        <v/>
      </c>
    </row>
    <row r="133" spans="2:15">
      <c r="B133" s="12"/>
      <c r="L133" s="13"/>
      <c r="M133" s="13"/>
      <c r="N133" s="13">
        <f>IFERROR(_xlfn.XLOOKUP(K133&amp;"|"&amp;M133,单位换算!$C$5:$C$30,单位换算!$D$5:$D$30),1)</f>
        <v>1</v>
      </c>
      <c r="O133" s="13" t="str">
        <f t="shared" ref="O133:O196" si="2">IF(L133="","",L133*N133)</f>
        <v/>
      </c>
    </row>
    <row r="134" spans="2:15">
      <c r="B134" s="12"/>
      <c r="L134" s="13"/>
      <c r="M134" s="13"/>
      <c r="N134" s="13">
        <f>IFERROR(_xlfn.XLOOKUP(K134&amp;"|"&amp;M134,单位换算!$C$5:$C$30,单位换算!$D$5:$D$30),1)</f>
        <v>1</v>
      </c>
      <c r="O134" s="13" t="str">
        <f t="shared" si="2"/>
        <v/>
      </c>
    </row>
    <row r="135" spans="2:15">
      <c r="B135" s="12"/>
      <c r="L135" s="13"/>
      <c r="M135" s="13"/>
      <c r="N135" s="13">
        <f>IFERROR(_xlfn.XLOOKUP(K135&amp;"|"&amp;M135,单位换算!$C$5:$C$30,单位换算!$D$5:$D$30),1)</f>
        <v>1</v>
      </c>
      <c r="O135" s="13" t="str">
        <f t="shared" si="2"/>
        <v/>
      </c>
    </row>
    <row r="136" spans="2:15">
      <c r="B136" s="12"/>
      <c r="L136" s="13"/>
      <c r="M136" s="13"/>
      <c r="N136" s="13">
        <f>IFERROR(_xlfn.XLOOKUP(K136&amp;"|"&amp;M136,单位换算!$C$5:$C$30,单位换算!$D$5:$D$30),1)</f>
        <v>1</v>
      </c>
      <c r="O136" s="13" t="str">
        <f t="shared" si="2"/>
        <v/>
      </c>
    </row>
    <row r="137" spans="2:15">
      <c r="B137" s="12"/>
      <c r="L137" s="13"/>
      <c r="M137" s="13"/>
      <c r="N137" s="13">
        <f>IFERROR(_xlfn.XLOOKUP(K137&amp;"|"&amp;M137,单位换算!$C$5:$C$30,单位换算!$D$5:$D$30),1)</f>
        <v>1</v>
      </c>
      <c r="O137" s="13" t="str">
        <f t="shared" si="2"/>
        <v/>
      </c>
    </row>
    <row r="138" spans="2:15">
      <c r="B138" s="12"/>
      <c r="L138" s="13"/>
      <c r="M138" s="13"/>
      <c r="N138" s="13">
        <f>IFERROR(_xlfn.XLOOKUP(K138&amp;"|"&amp;M138,单位换算!$C$5:$C$30,单位换算!$D$5:$D$30),1)</f>
        <v>1</v>
      </c>
      <c r="O138" s="13" t="str">
        <f t="shared" si="2"/>
        <v/>
      </c>
    </row>
    <row r="139" spans="2:15">
      <c r="B139" s="12"/>
      <c r="L139" s="13"/>
      <c r="M139" s="13"/>
      <c r="N139" s="13">
        <f>IFERROR(_xlfn.XLOOKUP(K139&amp;"|"&amp;M139,单位换算!$C$5:$C$30,单位换算!$D$5:$D$30),1)</f>
        <v>1</v>
      </c>
      <c r="O139" s="13" t="str">
        <f t="shared" si="2"/>
        <v/>
      </c>
    </row>
    <row r="140" spans="2:15">
      <c r="B140" s="12"/>
      <c r="L140" s="13"/>
      <c r="M140" s="13"/>
      <c r="N140" s="13">
        <f>IFERROR(_xlfn.XLOOKUP(K140&amp;"|"&amp;M140,单位换算!$C$5:$C$30,单位换算!$D$5:$D$30),1)</f>
        <v>1</v>
      </c>
      <c r="O140" s="13" t="str">
        <f t="shared" si="2"/>
        <v/>
      </c>
    </row>
    <row r="141" spans="2:15">
      <c r="B141" s="12"/>
      <c r="L141" s="13"/>
      <c r="M141" s="13"/>
      <c r="N141" s="13">
        <f>IFERROR(_xlfn.XLOOKUP(K141&amp;"|"&amp;M141,单位换算!$C$5:$C$30,单位换算!$D$5:$D$30),1)</f>
        <v>1</v>
      </c>
      <c r="O141" s="13" t="str">
        <f t="shared" si="2"/>
        <v/>
      </c>
    </row>
    <row r="142" spans="2:15">
      <c r="B142" s="12"/>
      <c r="L142" s="13"/>
      <c r="M142" s="13"/>
      <c r="N142" s="13">
        <f>IFERROR(_xlfn.XLOOKUP(K142&amp;"|"&amp;M142,单位换算!$C$5:$C$30,单位换算!$D$5:$D$30),1)</f>
        <v>1</v>
      </c>
      <c r="O142" s="13" t="str">
        <f t="shared" si="2"/>
        <v/>
      </c>
    </row>
    <row r="143" spans="2:15">
      <c r="B143" s="12"/>
      <c r="L143" s="13"/>
      <c r="M143" s="13"/>
      <c r="N143" s="13">
        <f>IFERROR(_xlfn.XLOOKUP(K143&amp;"|"&amp;M143,单位换算!$C$5:$C$30,单位换算!$D$5:$D$30),1)</f>
        <v>1</v>
      </c>
      <c r="O143" s="13" t="str">
        <f t="shared" si="2"/>
        <v/>
      </c>
    </row>
    <row r="144" spans="2:15">
      <c r="B144" s="12"/>
      <c r="L144" s="13"/>
      <c r="M144" s="13"/>
      <c r="N144" s="13">
        <f>IFERROR(_xlfn.XLOOKUP(K144&amp;"|"&amp;M144,单位换算!$C$5:$C$30,单位换算!$D$5:$D$30),1)</f>
        <v>1</v>
      </c>
      <c r="O144" s="13" t="str">
        <f t="shared" si="2"/>
        <v/>
      </c>
    </row>
    <row r="145" spans="2:15">
      <c r="B145" s="12"/>
      <c r="L145" s="13"/>
      <c r="M145" s="13"/>
      <c r="N145" s="13">
        <f>IFERROR(_xlfn.XLOOKUP(K145&amp;"|"&amp;M145,单位换算!$C$5:$C$30,单位换算!$D$5:$D$30),1)</f>
        <v>1</v>
      </c>
      <c r="O145" s="13" t="str">
        <f t="shared" si="2"/>
        <v/>
      </c>
    </row>
    <row r="146" spans="2:15">
      <c r="B146" s="12"/>
      <c r="L146" s="13"/>
      <c r="M146" s="13"/>
      <c r="N146" s="13">
        <f>IFERROR(_xlfn.XLOOKUP(K146&amp;"|"&amp;M146,单位换算!$C$5:$C$30,单位换算!$D$5:$D$30),1)</f>
        <v>1</v>
      </c>
      <c r="O146" s="13" t="str">
        <f t="shared" si="2"/>
        <v/>
      </c>
    </row>
    <row r="147" spans="2:15">
      <c r="B147" s="12"/>
      <c r="L147" s="13"/>
      <c r="M147" s="13"/>
      <c r="N147" s="13">
        <f>IFERROR(_xlfn.XLOOKUP(K147&amp;"|"&amp;M147,单位换算!$C$5:$C$30,单位换算!$D$5:$D$30),1)</f>
        <v>1</v>
      </c>
      <c r="O147" s="13" t="str">
        <f t="shared" si="2"/>
        <v/>
      </c>
    </row>
    <row r="148" spans="2:15">
      <c r="B148" s="12"/>
      <c r="L148" s="13"/>
      <c r="M148" s="13"/>
      <c r="N148" s="13">
        <f>IFERROR(_xlfn.XLOOKUP(K148&amp;"|"&amp;M148,单位换算!$C$5:$C$30,单位换算!$D$5:$D$30),1)</f>
        <v>1</v>
      </c>
      <c r="O148" s="13" t="str">
        <f t="shared" si="2"/>
        <v/>
      </c>
    </row>
    <row r="149" spans="2:15">
      <c r="B149" s="12"/>
      <c r="L149" s="13"/>
      <c r="M149" s="13"/>
      <c r="N149" s="13">
        <f>IFERROR(_xlfn.XLOOKUP(K149&amp;"|"&amp;M149,单位换算!$C$5:$C$30,单位换算!$D$5:$D$30),1)</f>
        <v>1</v>
      </c>
      <c r="O149" s="13" t="str">
        <f t="shared" si="2"/>
        <v/>
      </c>
    </row>
    <row r="150" spans="2:15">
      <c r="B150" s="12"/>
      <c r="L150" s="13"/>
      <c r="M150" s="13"/>
      <c r="N150" s="13">
        <f>IFERROR(_xlfn.XLOOKUP(K150&amp;"|"&amp;M150,单位换算!$C$5:$C$30,单位换算!$D$5:$D$30),1)</f>
        <v>1</v>
      </c>
      <c r="O150" s="13" t="str">
        <f t="shared" si="2"/>
        <v/>
      </c>
    </row>
    <row r="151" spans="2:15">
      <c r="B151" s="12"/>
      <c r="L151" s="13"/>
      <c r="M151" s="13"/>
      <c r="N151" s="13">
        <f>IFERROR(_xlfn.XLOOKUP(K151&amp;"|"&amp;M151,单位换算!$C$5:$C$30,单位换算!$D$5:$D$30),1)</f>
        <v>1</v>
      </c>
      <c r="O151" s="13" t="str">
        <f t="shared" si="2"/>
        <v/>
      </c>
    </row>
    <row r="152" spans="2:15">
      <c r="B152" s="12"/>
      <c r="L152" s="13"/>
      <c r="M152" s="13"/>
      <c r="N152" s="13">
        <f>IFERROR(_xlfn.XLOOKUP(K152&amp;"|"&amp;M152,单位换算!$C$5:$C$30,单位换算!$D$5:$D$30),1)</f>
        <v>1</v>
      </c>
      <c r="O152" s="13" t="str">
        <f t="shared" si="2"/>
        <v/>
      </c>
    </row>
    <row r="153" spans="2:15">
      <c r="B153" s="12"/>
      <c r="L153" s="13"/>
      <c r="M153" s="13"/>
      <c r="N153" s="13">
        <f>IFERROR(_xlfn.XLOOKUP(K153&amp;"|"&amp;M153,单位换算!$C$5:$C$30,单位换算!$D$5:$D$30),1)</f>
        <v>1</v>
      </c>
      <c r="O153" s="13" t="str">
        <f t="shared" si="2"/>
        <v/>
      </c>
    </row>
    <row r="154" spans="2:15">
      <c r="B154" s="12"/>
      <c r="L154" s="13"/>
      <c r="M154" s="13"/>
      <c r="N154" s="13">
        <f>IFERROR(_xlfn.XLOOKUP(K154&amp;"|"&amp;M154,单位换算!$C$5:$C$30,单位换算!$D$5:$D$30),1)</f>
        <v>1</v>
      </c>
      <c r="O154" s="13" t="str">
        <f t="shared" si="2"/>
        <v/>
      </c>
    </row>
    <row r="155" spans="2:15">
      <c r="B155" s="12"/>
      <c r="L155" s="13"/>
      <c r="M155" s="13"/>
      <c r="N155" s="13">
        <f>IFERROR(_xlfn.XLOOKUP(K155&amp;"|"&amp;M155,单位换算!$C$5:$C$30,单位换算!$D$5:$D$30),1)</f>
        <v>1</v>
      </c>
      <c r="O155" s="13" t="str">
        <f t="shared" si="2"/>
        <v/>
      </c>
    </row>
    <row r="156" spans="2:15">
      <c r="B156" s="12"/>
      <c r="L156" s="13"/>
      <c r="M156" s="13"/>
      <c r="N156" s="13">
        <f>IFERROR(_xlfn.XLOOKUP(K156&amp;"|"&amp;M156,单位换算!$C$5:$C$30,单位换算!$D$5:$D$30),1)</f>
        <v>1</v>
      </c>
      <c r="O156" s="13" t="str">
        <f t="shared" si="2"/>
        <v/>
      </c>
    </row>
    <row r="157" spans="2:15">
      <c r="B157" s="12"/>
      <c r="L157" s="13"/>
      <c r="M157" s="13"/>
      <c r="N157" s="13">
        <f>IFERROR(_xlfn.XLOOKUP(K157&amp;"|"&amp;M157,单位换算!$C$5:$C$30,单位换算!$D$5:$D$30),1)</f>
        <v>1</v>
      </c>
      <c r="O157" s="13" t="str">
        <f t="shared" si="2"/>
        <v/>
      </c>
    </row>
    <row r="158" spans="2:15">
      <c r="B158" s="12"/>
      <c r="L158" s="13"/>
      <c r="M158" s="13"/>
      <c r="N158" s="13">
        <f>IFERROR(_xlfn.XLOOKUP(K158&amp;"|"&amp;M158,单位换算!$C$5:$C$30,单位换算!$D$5:$D$30),1)</f>
        <v>1</v>
      </c>
      <c r="O158" s="13" t="str">
        <f t="shared" si="2"/>
        <v/>
      </c>
    </row>
    <row r="159" spans="2:15">
      <c r="B159" s="12"/>
      <c r="L159" s="13"/>
      <c r="M159" s="13"/>
      <c r="N159" s="13">
        <f>IFERROR(_xlfn.XLOOKUP(K159&amp;"|"&amp;M159,单位换算!$C$5:$C$30,单位换算!$D$5:$D$30),1)</f>
        <v>1</v>
      </c>
      <c r="O159" s="13" t="str">
        <f t="shared" si="2"/>
        <v/>
      </c>
    </row>
    <row r="160" spans="2:15">
      <c r="B160" s="12"/>
      <c r="L160" s="13"/>
      <c r="M160" s="13"/>
      <c r="N160" s="13">
        <f>IFERROR(_xlfn.XLOOKUP(K160&amp;"|"&amp;M160,单位换算!$C$5:$C$30,单位换算!$D$5:$D$30),1)</f>
        <v>1</v>
      </c>
      <c r="O160" s="13" t="str">
        <f t="shared" si="2"/>
        <v/>
      </c>
    </row>
    <row r="161" spans="2:15">
      <c r="B161" s="12"/>
      <c r="L161" s="13"/>
      <c r="M161" s="13"/>
      <c r="N161" s="13">
        <f>IFERROR(_xlfn.XLOOKUP(K161&amp;"|"&amp;M161,单位换算!$C$5:$C$30,单位换算!$D$5:$D$30),1)</f>
        <v>1</v>
      </c>
      <c r="O161" s="13" t="str">
        <f t="shared" si="2"/>
        <v/>
      </c>
    </row>
    <row r="162" spans="2:15">
      <c r="B162" s="12"/>
      <c r="L162" s="13"/>
      <c r="M162" s="13"/>
      <c r="N162" s="13">
        <f>IFERROR(_xlfn.XLOOKUP(K162&amp;"|"&amp;M162,单位换算!$C$5:$C$30,单位换算!$D$5:$D$30),1)</f>
        <v>1</v>
      </c>
      <c r="O162" s="13" t="str">
        <f t="shared" si="2"/>
        <v/>
      </c>
    </row>
    <row r="163" spans="2:15">
      <c r="B163" s="12"/>
      <c r="L163" s="13"/>
      <c r="M163" s="13"/>
      <c r="N163" s="13">
        <f>IFERROR(_xlfn.XLOOKUP(K163&amp;"|"&amp;M163,单位换算!$C$5:$C$30,单位换算!$D$5:$D$30),1)</f>
        <v>1</v>
      </c>
      <c r="O163" s="13" t="str">
        <f t="shared" si="2"/>
        <v/>
      </c>
    </row>
    <row r="164" spans="2:15">
      <c r="B164" s="12"/>
      <c r="L164" s="13"/>
      <c r="M164" s="13"/>
      <c r="N164" s="13">
        <f>IFERROR(_xlfn.XLOOKUP(K164&amp;"|"&amp;M164,单位换算!$C$5:$C$30,单位换算!$D$5:$D$30),1)</f>
        <v>1</v>
      </c>
      <c r="O164" s="13" t="str">
        <f t="shared" si="2"/>
        <v/>
      </c>
    </row>
    <row r="165" spans="2:15">
      <c r="B165" s="12"/>
      <c r="L165" s="13"/>
      <c r="M165" s="13"/>
      <c r="N165" s="13">
        <f>IFERROR(_xlfn.XLOOKUP(K165&amp;"|"&amp;M165,单位换算!$C$5:$C$30,单位换算!$D$5:$D$30),1)</f>
        <v>1</v>
      </c>
      <c r="O165" s="13" t="str">
        <f t="shared" si="2"/>
        <v/>
      </c>
    </row>
    <row r="166" spans="2:15">
      <c r="B166" s="12"/>
      <c r="L166" s="13"/>
      <c r="M166" s="13"/>
      <c r="N166" s="13">
        <f>IFERROR(_xlfn.XLOOKUP(K166&amp;"|"&amp;M166,单位换算!$C$5:$C$30,单位换算!$D$5:$D$30),1)</f>
        <v>1</v>
      </c>
      <c r="O166" s="13" t="str">
        <f t="shared" si="2"/>
        <v/>
      </c>
    </row>
    <row r="167" spans="2:15">
      <c r="B167" s="12"/>
      <c r="L167" s="13"/>
      <c r="M167" s="13"/>
      <c r="N167" s="13">
        <f>IFERROR(_xlfn.XLOOKUP(K167&amp;"|"&amp;M167,单位换算!$C$5:$C$30,单位换算!$D$5:$D$30),1)</f>
        <v>1</v>
      </c>
      <c r="O167" s="13" t="str">
        <f t="shared" si="2"/>
        <v/>
      </c>
    </row>
    <row r="168" spans="2:15">
      <c r="B168" s="12"/>
      <c r="L168" s="13"/>
      <c r="M168" s="13"/>
      <c r="N168" s="13">
        <f>IFERROR(_xlfn.XLOOKUP(K168&amp;"|"&amp;M168,单位换算!$C$5:$C$30,单位换算!$D$5:$D$30),1)</f>
        <v>1</v>
      </c>
      <c r="O168" s="13" t="str">
        <f t="shared" si="2"/>
        <v/>
      </c>
    </row>
    <row r="169" spans="2:15">
      <c r="B169" s="12"/>
      <c r="L169" s="13"/>
      <c r="M169" s="13"/>
      <c r="N169" s="13">
        <f>IFERROR(_xlfn.XLOOKUP(K169&amp;"|"&amp;M169,单位换算!$C$5:$C$30,单位换算!$D$5:$D$30),1)</f>
        <v>1</v>
      </c>
      <c r="O169" s="13" t="str">
        <f t="shared" si="2"/>
        <v/>
      </c>
    </row>
    <row r="170" spans="2:15">
      <c r="B170" s="12"/>
      <c r="L170" s="13"/>
      <c r="M170" s="13"/>
      <c r="N170" s="13">
        <f>IFERROR(_xlfn.XLOOKUP(K170&amp;"|"&amp;M170,单位换算!$C$5:$C$30,单位换算!$D$5:$D$30),1)</f>
        <v>1</v>
      </c>
      <c r="O170" s="13" t="str">
        <f t="shared" si="2"/>
        <v/>
      </c>
    </row>
    <row r="171" spans="2:15">
      <c r="B171" s="12"/>
      <c r="L171" s="13"/>
      <c r="M171" s="13"/>
      <c r="N171" s="13">
        <f>IFERROR(_xlfn.XLOOKUP(K171&amp;"|"&amp;M171,单位换算!$C$5:$C$30,单位换算!$D$5:$D$30),1)</f>
        <v>1</v>
      </c>
      <c r="O171" s="13" t="str">
        <f t="shared" si="2"/>
        <v/>
      </c>
    </row>
    <row r="172" spans="2:15">
      <c r="B172" s="12"/>
      <c r="L172" s="13"/>
      <c r="M172" s="13"/>
      <c r="N172" s="13">
        <f>IFERROR(_xlfn.XLOOKUP(K172&amp;"|"&amp;M172,单位换算!$C$5:$C$30,单位换算!$D$5:$D$30),1)</f>
        <v>1</v>
      </c>
      <c r="O172" s="13" t="str">
        <f t="shared" si="2"/>
        <v/>
      </c>
    </row>
    <row r="173" spans="2:15">
      <c r="B173" s="12"/>
      <c r="L173" s="13"/>
      <c r="M173" s="13"/>
      <c r="N173" s="13">
        <f>IFERROR(_xlfn.XLOOKUP(K173&amp;"|"&amp;M173,单位换算!$C$5:$C$30,单位换算!$D$5:$D$30),1)</f>
        <v>1</v>
      </c>
      <c r="O173" s="13" t="str">
        <f t="shared" si="2"/>
        <v/>
      </c>
    </row>
    <row r="174" spans="2:15">
      <c r="B174" s="12"/>
      <c r="L174" s="13"/>
      <c r="M174" s="13"/>
      <c r="N174" s="13">
        <f>IFERROR(_xlfn.XLOOKUP(K174&amp;"|"&amp;M174,单位换算!$C$5:$C$30,单位换算!$D$5:$D$30),1)</f>
        <v>1</v>
      </c>
      <c r="O174" s="13" t="str">
        <f t="shared" si="2"/>
        <v/>
      </c>
    </row>
    <row r="175" spans="2:15">
      <c r="B175" s="12"/>
      <c r="L175" s="13"/>
      <c r="M175" s="13"/>
      <c r="N175" s="13">
        <f>IFERROR(_xlfn.XLOOKUP(K175&amp;"|"&amp;M175,单位换算!$C$5:$C$30,单位换算!$D$5:$D$30),1)</f>
        <v>1</v>
      </c>
      <c r="O175" s="13" t="str">
        <f t="shared" si="2"/>
        <v/>
      </c>
    </row>
    <row r="176" spans="2:15">
      <c r="B176" s="12"/>
      <c r="L176" s="13"/>
      <c r="M176" s="13"/>
      <c r="N176" s="13">
        <f>IFERROR(_xlfn.XLOOKUP(K176&amp;"|"&amp;M176,单位换算!$C$5:$C$30,单位换算!$D$5:$D$30),1)</f>
        <v>1</v>
      </c>
      <c r="O176" s="13" t="str">
        <f t="shared" si="2"/>
        <v/>
      </c>
    </row>
    <row r="177" spans="2:15">
      <c r="B177" s="12"/>
      <c r="L177" s="13"/>
      <c r="M177" s="13"/>
      <c r="N177" s="13">
        <f>IFERROR(_xlfn.XLOOKUP(K177&amp;"|"&amp;M177,单位换算!$C$5:$C$30,单位换算!$D$5:$D$30),1)</f>
        <v>1</v>
      </c>
      <c r="O177" s="13" t="str">
        <f t="shared" si="2"/>
        <v/>
      </c>
    </row>
    <row r="178" spans="2:15">
      <c r="B178" s="12"/>
      <c r="L178" s="13"/>
      <c r="M178" s="13"/>
      <c r="N178" s="13">
        <f>IFERROR(_xlfn.XLOOKUP(K178&amp;"|"&amp;M178,单位换算!$C$5:$C$30,单位换算!$D$5:$D$30),1)</f>
        <v>1</v>
      </c>
      <c r="O178" s="13" t="str">
        <f t="shared" si="2"/>
        <v/>
      </c>
    </row>
    <row r="179" spans="2:15">
      <c r="B179" s="12"/>
      <c r="L179" s="13"/>
      <c r="M179" s="13"/>
      <c r="N179" s="13">
        <f>IFERROR(_xlfn.XLOOKUP(K179&amp;"|"&amp;M179,单位换算!$C$5:$C$30,单位换算!$D$5:$D$30),1)</f>
        <v>1</v>
      </c>
      <c r="O179" s="13" t="str">
        <f t="shared" si="2"/>
        <v/>
      </c>
    </row>
    <row r="180" spans="2:15">
      <c r="B180" s="12"/>
      <c r="L180" s="13"/>
      <c r="M180" s="13"/>
      <c r="N180" s="13">
        <f>IFERROR(_xlfn.XLOOKUP(K180&amp;"|"&amp;M180,单位换算!$C$5:$C$30,单位换算!$D$5:$D$30),1)</f>
        <v>1</v>
      </c>
      <c r="O180" s="13" t="str">
        <f t="shared" si="2"/>
        <v/>
      </c>
    </row>
    <row r="181" spans="2:15">
      <c r="B181" s="12"/>
      <c r="L181" s="13"/>
      <c r="M181" s="13"/>
      <c r="N181" s="13">
        <f>IFERROR(_xlfn.XLOOKUP(K181&amp;"|"&amp;M181,单位换算!$C$5:$C$30,单位换算!$D$5:$D$30),1)</f>
        <v>1</v>
      </c>
      <c r="O181" s="13" t="str">
        <f t="shared" si="2"/>
        <v/>
      </c>
    </row>
    <row r="182" spans="2:15">
      <c r="B182" s="12"/>
      <c r="L182" s="13"/>
      <c r="M182" s="13"/>
      <c r="N182" s="13">
        <f>IFERROR(_xlfn.XLOOKUP(K182&amp;"|"&amp;M182,单位换算!$C$5:$C$30,单位换算!$D$5:$D$30),1)</f>
        <v>1</v>
      </c>
      <c r="O182" s="13" t="str">
        <f t="shared" si="2"/>
        <v/>
      </c>
    </row>
    <row r="183" spans="2:15">
      <c r="B183" s="12"/>
      <c r="L183" s="13"/>
      <c r="M183" s="13"/>
      <c r="N183" s="13">
        <f>IFERROR(_xlfn.XLOOKUP(K183&amp;"|"&amp;M183,单位换算!$C$5:$C$30,单位换算!$D$5:$D$30),1)</f>
        <v>1</v>
      </c>
      <c r="O183" s="13" t="str">
        <f t="shared" si="2"/>
        <v/>
      </c>
    </row>
    <row r="184" spans="2:15">
      <c r="B184" s="12"/>
      <c r="L184" s="13"/>
      <c r="M184" s="13"/>
      <c r="N184" s="13">
        <f>IFERROR(_xlfn.XLOOKUP(K184&amp;"|"&amp;M184,单位换算!$C$5:$C$30,单位换算!$D$5:$D$30),1)</f>
        <v>1</v>
      </c>
      <c r="O184" s="13" t="str">
        <f t="shared" si="2"/>
        <v/>
      </c>
    </row>
    <row r="185" spans="2:15">
      <c r="B185" s="12"/>
      <c r="L185" s="13"/>
      <c r="M185" s="13"/>
      <c r="N185" s="13">
        <f>IFERROR(_xlfn.XLOOKUP(K185&amp;"|"&amp;M185,单位换算!$C$5:$C$30,单位换算!$D$5:$D$30),1)</f>
        <v>1</v>
      </c>
      <c r="O185" s="13" t="str">
        <f t="shared" si="2"/>
        <v/>
      </c>
    </row>
    <row r="186" spans="2:15">
      <c r="B186" s="12"/>
      <c r="L186" s="13"/>
      <c r="M186" s="13"/>
      <c r="N186" s="13">
        <f>IFERROR(_xlfn.XLOOKUP(K186&amp;"|"&amp;M186,单位换算!$C$5:$C$30,单位换算!$D$5:$D$30),1)</f>
        <v>1</v>
      </c>
      <c r="O186" s="13" t="str">
        <f t="shared" si="2"/>
        <v/>
      </c>
    </row>
    <row r="187" spans="2:15">
      <c r="B187" s="12"/>
      <c r="L187" s="13"/>
      <c r="M187" s="13"/>
      <c r="N187" s="13">
        <f>IFERROR(_xlfn.XLOOKUP(K187&amp;"|"&amp;M187,单位换算!$C$5:$C$30,单位换算!$D$5:$D$30),1)</f>
        <v>1</v>
      </c>
      <c r="O187" s="13" t="str">
        <f t="shared" si="2"/>
        <v/>
      </c>
    </row>
    <row r="188" spans="2:15">
      <c r="B188" s="12"/>
      <c r="L188" s="13"/>
      <c r="M188" s="13"/>
      <c r="N188" s="13">
        <f>IFERROR(_xlfn.XLOOKUP(K188&amp;"|"&amp;M188,单位换算!$C$5:$C$30,单位换算!$D$5:$D$30),1)</f>
        <v>1</v>
      </c>
      <c r="O188" s="13" t="str">
        <f t="shared" si="2"/>
        <v/>
      </c>
    </row>
    <row r="189" spans="2:15">
      <c r="B189" s="12"/>
      <c r="L189" s="13"/>
      <c r="M189" s="13"/>
      <c r="N189" s="13">
        <f>IFERROR(_xlfn.XLOOKUP(K189&amp;"|"&amp;M189,单位换算!$C$5:$C$30,单位换算!$D$5:$D$30),1)</f>
        <v>1</v>
      </c>
      <c r="O189" s="13" t="str">
        <f t="shared" si="2"/>
        <v/>
      </c>
    </row>
    <row r="190" spans="2:15">
      <c r="B190" s="12"/>
      <c r="L190" s="13"/>
      <c r="M190" s="13"/>
      <c r="N190" s="13">
        <f>IFERROR(_xlfn.XLOOKUP(K190&amp;"|"&amp;M190,单位换算!$C$5:$C$30,单位换算!$D$5:$D$30),1)</f>
        <v>1</v>
      </c>
      <c r="O190" s="13" t="str">
        <f t="shared" si="2"/>
        <v/>
      </c>
    </row>
    <row r="191" spans="2:15">
      <c r="B191" s="12"/>
      <c r="L191" s="13"/>
      <c r="M191" s="13"/>
      <c r="N191" s="13">
        <f>IFERROR(_xlfn.XLOOKUP(K191&amp;"|"&amp;M191,单位换算!$C$5:$C$30,单位换算!$D$5:$D$30),1)</f>
        <v>1</v>
      </c>
      <c r="O191" s="13" t="str">
        <f t="shared" si="2"/>
        <v/>
      </c>
    </row>
    <row r="192" spans="2:15">
      <c r="B192" s="12"/>
      <c r="L192" s="13"/>
      <c r="M192" s="13"/>
      <c r="N192" s="13">
        <f>IFERROR(_xlfn.XLOOKUP(K192&amp;"|"&amp;M192,单位换算!$C$5:$C$30,单位换算!$D$5:$D$30),1)</f>
        <v>1</v>
      </c>
      <c r="O192" s="13" t="str">
        <f t="shared" si="2"/>
        <v/>
      </c>
    </row>
    <row r="193" spans="2:15">
      <c r="B193" s="12"/>
      <c r="L193" s="13"/>
      <c r="M193" s="13"/>
      <c r="N193" s="13">
        <f>IFERROR(_xlfn.XLOOKUP(K193&amp;"|"&amp;M193,单位换算!$C$5:$C$30,单位换算!$D$5:$D$30),1)</f>
        <v>1</v>
      </c>
      <c r="O193" s="13" t="str">
        <f t="shared" si="2"/>
        <v/>
      </c>
    </row>
    <row r="194" spans="2:15">
      <c r="B194" s="12"/>
      <c r="L194" s="13"/>
      <c r="M194" s="13"/>
      <c r="N194" s="13">
        <f>IFERROR(_xlfn.XLOOKUP(K194&amp;"|"&amp;M194,单位换算!$C$5:$C$30,单位换算!$D$5:$D$30),1)</f>
        <v>1</v>
      </c>
      <c r="O194" s="13" t="str">
        <f t="shared" si="2"/>
        <v/>
      </c>
    </row>
    <row r="195" spans="2:15">
      <c r="B195" s="12"/>
      <c r="L195" s="13"/>
      <c r="M195" s="13"/>
      <c r="N195" s="13">
        <f>IFERROR(_xlfn.XLOOKUP(K195&amp;"|"&amp;M195,单位换算!$C$5:$C$30,单位换算!$D$5:$D$30),1)</f>
        <v>1</v>
      </c>
      <c r="O195" s="13" t="str">
        <f t="shared" si="2"/>
        <v/>
      </c>
    </row>
    <row r="196" spans="2:15">
      <c r="B196" s="12"/>
      <c r="L196" s="13"/>
      <c r="M196" s="13"/>
      <c r="N196" s="13">
        <f>IFERROR(_xlfn.XLOOKUP(K196&amp;"|"&amp;M196,单位换算!$C$5:$C$30,单位换算!$D$5:$D$30),1)</f>
        <v>1</v>
      </c>
      <c r="O196" s="13" t="str">
        <f t="shared" si="2"/>
        <v/>
      </c>
    </row>
    <row r="197" spans="2:15">
      <c r="B197" s="12"/>
      <c r="L197" s="13"/>
      <c r="M197" s="13"/>
      <c r="N197" s="13">
        <f>IFERROR(_xlfn.XLOOKUP(K197&amp;"|"&amp;M197,单位换算!$C$5:$C$30,单位换算!$D$5:$D$30),1)</f>
        <v>1</v>
      </c>
      <c r="O197" s="13" t="str">
        <f t="shared" ref="O197:O204" si="3">IF(L197="","",L197*N197)</f>
        <v/>
      </c>
    </row>
    <row r="198" spans="2:15">
      <c r="B198" s="12"/>
      <c r="L198" s="13"/>
      <c r="M198" s="13"/>
      <c r="N198" s="13">
        <f>IFERROR(_xlfn.XLOOKUP(K198&amp;"|"&amp;M198,单位换算!$C$5:$C$30,单位换算!$D$5:$D$30),1)</f>
        <v>1</v>
      </c>
      <c r="O198" s="13" t="str">
        <f t="shared" si="3"/>
        <v/>
      </c>
    </row>
    <row r="199" spans="2:15">
      <c r="B199" s="12"/>
      <c r="L199" s="13"/>
      <c r="M199" s="13"/>
      <c r="N199" s="13">
        <f>IFERROR(_xlfn.XLOOKUP(K199&amp;"|"&amp;M199,单位换算!$C$5:$C$30,单位换算!$D$5:$D$30),1)</f>
        <v>1</v>
      </c>
      <c r="O199" s="13" t="str">
        <f t="shared" si="3"/>
        <v/>
      </c>
    </row>
    <row r="200" spans="2:15">
      <c r="B200" s="12"/>
      <c r="L200" s="13"/>
      <c r="M200" s="13"/>
      <c r="N200" s="13">
        <f>IFERROR(_xlfn.XLOOKUP(K200&amp;"|"&amp;M200,单位换算!$C$5:$C$30,单位换算!$D$5:$D$30),1)</f>
        <v>1</v>
      </c>
      <c r="O200" s="13" t="str">
        <f t="shared" si="3"/>
        <v/>
      </c>
    </row>
    <row r="201" spans="2:15">
      <c r="B201" s="12"/>
      <c r="L201" s="13"/>
      <c r="M201" s="13"/>
      <c r="N201" s="13">
        <f>IFERROR(_xlfn.XLOOKUP(K201&amp;"|"&amp;M201,单位换算!$C$5:$C$30,单位换算!$D$5:$D$30),1)</f>
        <v>1</v>
      </c>
      <c r="O201" s="13" t="str">
        <f t="shared" si="3"/>
        <v/>
      </c>
    </row>
    <row r="202" spans="2:15">
      <c r="B202" s="12"/>
      <c r="L202" s="13"/>
      <c r="M202" s="13"/>
      <c r="N202" s="13">
        <f>IFERROR(_xlfn.XLOOKUP(K202&amp;"|"&amp;M202,单位换算!$C$5:$C$30,单位换算!$D$5:$D$30),1)</f>
        <v>1</v>
      </c>
      <c r="O202" s="13" t="str">
        <f t="shared" si="3"/>
        <v/>
      </c>
    </row>
    <row r="203" spans="2:15">
      <c r="B203" s="12"/>
      <c r="L203" s="13"/>
      <c r="M203" s="13"/>
      <c r="N203" s="13">
        <f>IFERROR(_xlfn.XLOOKUP(K203&amp;"|"&amp;M203,单位换算!$C$5:$C$30,单位换算!$D$5:$D$30),1)</f>
        <v>1</v>
      </c>
      <c r="O203" s="13" t="str">
        <f t="shared" si="3"/>
        <v/>
      </c>
    </row>
    <row r="204" spans="2:15">
      <c r="B204" s="12"/>
      <c r="L204" s="13"/>
      <c r="M204" s="13"/>
      <c r="N204" s="13">
        <f>IFERROR(_xlfn.XLOOKUP(K204&amp;"|"&amp;M204,单位换算!$C$5:$C$30,单位换算!$D$5:$D$30),1)</f>
        <v>1</v>
      </c>
      <c r="O204" s="13" t="str">
        <f t="shared" si="3"/>
        <v/>
      </c>
    </row>
  </sheetData>
  <mergeCells count="2">
    <mergeCell ref="A1:R1"/>
    <mergeCell ref="A3:R3"/>
  </mergeCells>
  <dataValidations count="2">
    <dataValidation type="list" sqref="C5:C204">
      <formula1>"采购入库,生产进度到料,退料入库,调拨入库,盘盈"</formula1>
    </dataValidation>
    <dataValidation type="list" sqref="Q5:Q204">
      <formula1>"待检,合格,让步接收,不合格,退货"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4"/>
  <sheetViews>
    <sheetView showGridLines="0" workbookViewId="0">
      <selection activeCell="A1" sqref="A1:R1"/>
    </sheetView>
  </sheetViews>
  <sheetFormatPr defaultColWidth="9" defaultRowHeight="13.8"/>
  <cols>
    <col min="1" max="2" width="11.8833333333333" customWidth="1"/>
    <col min="3" max="3" width="13.75" customWidth="1"/>
    <col min="4" max="4" width="15" customWidth="1"/>
    <col min="5" max="5" width="16.25" customWidth="1"/>
    <col min="6" max="6" width="15" customWidth="1"/>
    <col min="7" max="7" width="11.25" customWidth="1"/>
    <col min="8" max="8" width="27.5" customWidth="1"/>
    <col min="9" max="9" width="10" customWidth="1"/>
    <col min="10" max="10" width="12.5" customWidth="1"/>
    <col min="11" max="11" width="10" customWidth="1"/>
    <col min="12" max="13" width="11.25" customWidth="1"/>
    <col min="14" max="14" width="10" customWidth="1"/>
    <col min="15" max="15" width="12.5" customWidth="1"/>
    <col min="16" max="16" width="17.5" customWidth="1"/>
    <col min="17" max="17" width="11.25" customWidth="1"/>
    <col min="18" max="18" width="20" customWidth="1"/>
  </cols>
  <sheetData>
    <row r="1" ht="25.5" customHeight="1" spans="1:18">
      <c r="A1" s="1" t="s">
        <v>1034</v>
      </c>
      <c r="B1" s="1" t="s">
        <v>1034</v>
      </c>
      <c r="C1" s="1" t="s">
        <v>1034</v>
      </c>
      <c r="D1" s="1" t="s">
        <v>1034</v>
      </c>
      <c r="E1" s="1" t="s">
        <v>1034</v>
      </c>
      <c r="F1" s="1" t="s">
        <v>1034</v>
      </c>
      <c r="G1" s="1" t="s">
        <v>1034</v>
      </c>
      <c r="H1" s="1" t="s">
        <v>1034</v>
      </c>
      <c r="I1" s="1" t="s">
        <v>1034</v>
      </c>
      <c r="J1" s="1" t="s">
        <v>1034</v>
      </c>
      <c r="K1" s="1" t="s">
        <v>1034</v>
      </c>
      <c r="L1" s="1" t="s">
        <v>1034</v>
      </c>
      <c r="M1" s="1" t="s">
        <v>1034</v>
      </c>
      <c r="N1" s="1" t="s">
        <v>1034</v>
      </c>
      <c r="O1" s="1" t="s">
        <v>1034</v>
      </c>
      <c r="P1" s="1" t="s">
        <v>1034</v>
      </c>
      <c r="Q1" s="1" t="s">
        <v>1034</v>
      </c>
      <c r="R1" s="1" t="s">
        <v>1034</v>
      </c>
    </row>
    <row r="3" spans="1:18">
      <c r="A3" s="4" t="s">
        <v>1035</v>
      </c>
      <c r="B3" s="4" t="s">
        <v>1035</v>
      </c>
      <c r="C3" s="4" t="s">
        <v>1035</v>
      </c>
      <c r="D3" s="4" t="s">
        <v>1035</v>
      </c>
      <c r="E3" s="4" t="s">
        <v>1035</v>
      </c>
      <c r="F3" s="4" t="s">
        <v>1035</v>
      </c>
      <c r="G3" s="4" t="s">
        <v>1035</v>
      </c>
      <c r="H3" s="4" t="s">
        <v>1035</v>
      </c>
      <c r="I3" s="4" t="s">
        <v>1035</v>
      </c>
      <c r="J3" s="4" t="s">
        <v>1035</v>
      </c>
      <c r="K3" s="4" t="s">
        <v>1035</v>
      </c>
      <c r="L3" s="4" t="s">
        <v>1035</v>
      </c>
      <c r="M3" s="4" t="s">
        <v>1035</v>
      </c>
      <c r="N3" s="4" t="s">
        <v>1035</v>
      </c>
      <c r="O3" s="4" t="s">
        <v>1035</v>
      </c>
      <c r="P3" s="4" t="s">
        <v>1035</v>
      </c>
      <c r="Q3" s="4" t="s">
        <v>1035</v>
      </c>
      <c r="R3" s="4" t="s">
        <v>1035</v>
      </c>
    </row>
    <row r="4" ht="22.5" customHeight="1" spans="1:18">
      <c r="A4" s="5" t="s">
        <v>1036</v>
      </c>
      <c r="B4" s="5" t="s">
        <v>1037</v>
      </c>
      <c r="C4" s="5" t="s">
        <v>1038</v>
      </c>
      <c r="D4" s="5" t="s">
        <v>1039</v>
      </c>
      <c r="E4" s="5" t="s">
        <v>30</v>
      </c>
      <c r="F4" s="5" t="s">
        <v>31</v>
      </c>
      <c r="G4" s="5" t="s">
        <v>14</v>
      </c>
      <c r="H4" s="5" t="s">
        <v>15</v>
      </c>
      <c r="I4" s="5" t="s">
        <v>8</v>
      </c>
      <c r="J4" s="5" t="s">
        <v>1003</v>
      </c>
      <c r="K4" s="5" t="s">
        <v>1004</v>
      </c>
      <c r="L4" s="5" t="s">
        <v>1040</v>
      </c>
      <c r="M4" s="5" t="s">
        <v>430</v>
      </c>
      <c r="N4" s="5" t="s">
        <v>1006</v>
      </c>
      <c r="O4" s="5" t="s">
        <v>1007</v>
      </c>
      <c r="P4" s="5" t="s">
        <v>1041</v>
      </c>
      <c r="Q4" s="5" t="s">
        <v>1042</v>
      </c>
      <c r="R4" s="5" t="s">
        <v>44</v>
      </c>
    </row>
    <row r="5" ht="14.4" spans="1:18">
      <c r="A5" s="6" t="s">
        <v>1043</v>
      </c>
      <c r="B5" s="11" t="s">
        <v>1011</v>
      </c>
      <c r="C5" s="6" t="s">
        <v>1044</v>
      </c>
      <c r="D5" s="6" t="s">
        <v>1045</v>
      </c>
      <c r="E5" s="6" t="s">
        <v>50</v>
      </c>
      <c r="F5" s="6" t="s">
        <v>51</v>
      </c>
      <c r="G5" s="6" t="s">
        <v>436</v>
      </c>
      <c r="H5" s="6" t="s">
        <v>54</v>
      </c>
      <c r="I5" s="6" t="s">
        <v>21</v>
      </c>
      <c r="J5" s="6" t="s">
        <v>49</v>
      </c>
      <c r="K5" s="6" t="s">
        <v>441</v>
      </c>
      <c r="L5" s="9" t="s">
        <v>49</v>
      </c>
      <c r="M5" s="9" t="s">
        <v>437</v>
      </c>
      <c r="N5" s="9">
        <f>IFERROR(_xlfn.XLOOKUP(K5&amp;"|"&amp;M5,单位换算!$C$5:$C$30,单位换算!$D$5:$D$30),1)</f>
        <v>1</v>
      </c>
      <c r="O5" s="9" t="str">
        <f t="shared" ref="O5:O68" si="0">IF(L5="","",L5*N5)</f>
        <v/>
      </c>
      <c r="P5" s="6" t="s">
        <v>1046</v>
      </c>
      <c r="Q5" s="6" t="s">
        <v>49</v>
      </c>
      <c r="R5" s="6" t="s">
        <v>49</v>
      </c>
    </row>
    <row r="6" ht="14.4" spans="1:18">
      <c r="A6" s="6" t="s">
        <v>1047</v>
      </c>
      <c r="B6" s="11" t="s">
        <v>1011</v>
      </c>
      <c r="C6" s="6" t="s">
        <v>1048</v>
      </c>
      <c r="D6" s="6" t="s">
        <v>1049</v>
      </c>
      <c r="E6" s="6" t="s">
        <v>60</v>
      </c>
      <c r="F6" s="6" t="s">
        <v>61</v>
      </c>
      <c r="G6" s="6" t="s">
        <v>440</v>
      </c>
      <c r="H6" s="6" t="s">
        <v>64</v>
      </c>
      <c r="I6" s="6" t="s">
        <v>20</v>
      </c>
      <c r="J6" s="6" t="s">
        <v>49</v>
      </c>
      <c r="K6" s="6" t="s">
        <v>441</v>
      </c>
      <c r="L6" s="9">
        <v>400.95</v>
      </c>
      <c r="M6" s="9" t="s">
        <v>441</v>
      </c>
      <c r="N6" s="9">
        <f>IFERROR(_xlfn.XLOOKUP(K6&amp;"|"&amp;M6,单位换算!$C$5:$C$30,单位换算!$D$5:$D$30),1)</f>
        <v>1</v>
      </c>
      <c r="O6" s="9">
        <f t="shared" si="0"/>
        <v>400.95</v>
      </c>
      <c r="P6" s="6" t="s">
        <v>1050</v>
      </c>
      <c r="Q6" s="6" t="s">
        <v>49</v>
      </c>
      <c r="R6" s="6" t="s">
        <v>49</v>
      </c>
    </row>
    <row r="7" ht="14.4" spans="1:18">
      <c r="A7" s="6" t="s">
        <v>1051</v>
      </c>
      <c r="B7" s="11" t="s">
        <v>1011</v>
      </c>
      <c r="C7" s="6" t="s">
        <v>1052</v>
      </c>
      <c r="D7" s="6" t="s">
        <v>1045</v>
      </c>
      <c r="E7" s="6" t="s">
        <v>70</v>
      </c>
      <c r="F7" s="6" t="s">
        <v>71</v>
      </c>
      <c r="G7" s="6" t="s">
        <v>443</v>
      </c>
      <c r="H7" s="6" t="s">
        <v>444</v>
      </c>
      <c r="I7" s="6" t="s">
        <v>21</v>
      </c>
      <c r="J7" s="6" t="s">
        <v>49</v>
      </c>
      <c r="K7" s="6" t="s">
        <v>437</v>
      </c>
      <c r="L7" s="9">
        <v>972</v>
      </c>
      <c r="M7" s="9" t="s">
        <v>437</v>
      </c>
      <c r="N7" s="9">
        <f>IFERROR(_xlfn.XLOOKUP(K7&amp;"|"&amp;M7,单位换算!$C$5:$C$30,单位换算!$D$5:$D$30),1)</f>
        <v>1</v>
      </c>
      <c r="O7" s="9">
        <f t="shared" si="0"/>
        <v>972</v>
      </c>
      <c r="P7" s="6" t="s">
        <v>1046</v>
      </c>
      <c r="Q7" s="6" t="s">
        <v>49</v>
      </c>
      <c r="R7" s="6" t="s">
        <v>49</v>
      </c>
    </row>
    <row r="8" ht="14.4" spans="1:18">
      <c r="A8" s="6" t="s">
        <v>1053</v>
      </c>
      <c r="B8" s="11" t="s">
        <v>1011</v>
      </c>
      <c r="C8" s="6" t="s">
        <v>1054</v>
      </c>
      <c r="D8" s="6" t="s">
        <v>1049</v>
      </c>
      <c r="E8" s="6" t="s">
        <v>70</v>
      </c>
      <c r="F8" s="6" t="s">
        <v>71</v>
      </c>
      <c r="G8" s="6" t="s">
        <v>445</v>
      </c>
      <c r="H8" s="6" t="s">
        <v>446</v>
      </c>
      <c r="I8" s="6" t="s">
        <v>21</v>
      </c>
      <c r="J8" s="6" t="s">
        <v>49</v>
      </c>
      <c r="K8" s="6" t="s">
        <v>437</v>
      </c>
      <c r="L8" s="9">
        <v>21.6</v>
      </c>
      <c r="M8" s="9" t="s">
        <v>437</v>
      </c>
      <c r="N8" s="9">
        <f>IFERROR(_xlfn.XLOOKUP(K8&amp;"|"&amp;M8,单位换算!$C$5:$C$30,单位换算!$D$5:$D$30),1)</f>
        <v>1</v>
      </c>
      <c r="O8" s="9">
        <f t="shared" si="0"/>
        <v>21.6</v>
      </c>
      <c r="P8" s="6" t="s">
        <v>1050</v>
      </c>
      <c r="Q8" s="6" t="s">
        <v>49</v>
      </c>
      <c r="R8" s="6" t="s">
        <v>49</v>
      </c>
    </row>
    <row r="9" ht="14.4" spans="1:18">
      <c r="A9" s="6" t="s">
        <v>1055</v>
      </c>
      <c r="B9" s="11" t="s">
        <v>1011</v>
      </c>
      <c r="C9" s="6" t="s">
        <v>1056</v>
      </c>
      <c r="D9" s="6" t="s">
        <v>1045</v>
      </c>
      <c r="E9" s="6" t="s">
        <v>80</v>
      </c>
      <c r="F9" s="6" t="s">
        <v>81</v>
      </c>
      <c r="G9" s="6" t="s">
        <v>447</v>
      </c>
      <c r="H9" s="6" t="s">
        <v>448</v>
      </c>
      <c r="I9" s="6" t="s">
        <v>21</v>
      </c>
      <c r="J9" s="6" t="s">
        <v>49</v>
      </c>
      <c r="K9" s="6" t="s">
        <v>437</v>
      </c>
      <c r="L9" s="9">
        <v>592.875</v>
      </c>
      <c r="M9" s="9" t="s">
        <v>437</v>
      </c>
      <c r="N9" s="9">
        <f>IFERROR(_xlfn.XLOOKUP(K9&amp;"|"&amp;M9,单位换算!$C$5:$C$30,单位换算!$D$5:$D$30),1)</f>
        <v>1</v>
      </c>
      <c r="O9" s="9">
        <f t="shared" si="0"/>
        <v>592.875</v>
      </c>
      <c r="P9" s="6" t="s">
        <v>1046</v>
      </c>
      <c r="Q9" s="6" t="s">
        <v>49</v>
      </c>
      <c r="R9" s="6" t="s">
        <v>49</v>
      </c>
    </row>
    <row r="10" ht="14.4" spans="1:18">
      <c r="A10" s="6" t="s">
        <v>1057</v>
      </c>
      <c r="B10" s="11" t="s">
        <v>1011</v>
      </c>
      <c r="C10" s="6" t="s">
        <v>1044</v>
      </c>
      <c r="D10" s="6" t="s">
        <v>1049</v>
      </c>
      <c r="E10" s="6" t="s">
        <v>80</v>
      </c>
      <c r="F10" s="6" t="s">
        <v>81</v>
      </c>
      <c r="G10" s="6" t="s">
        <v>449</v>
      </c>
      <c r="H10" s="6" t="s">
        <v>450</v>
      </c>
      <c r="I10" s="6" t="s">
        <v>21</v>
      </c>
      <c r="J10" s="6" t="s">
        <v>49</v>
      </c>
      <c r="K10" s="6" t="s">
        <v>437</v>
      </c>
      <c r="L10" s="9">
        <v>15.3</v>
      </c>
      <c r="M10" s="9" t="s">
        <v>437</v>
      </c>
      <c r="N10" s="9">
        <f>IFERROR(_xlfn.XLOOKUP(K10&amp;"|"&amp;M10,单位换算!$C$5:$C$30,单位换算!$D$5:$D$30),1)</f>
        <v>1</v>
      </c>
      <c r="O10" s="9">
        <f t="shared" si="0"/>
        <v>15.3</v>
      </c>
      <c r="P10" s="6" t="s">
        <v>1050</v>
      </c>
      <c r="Q10" s="6" t="s">
        <v>49</v>
      </c>
      <c r="R10" s="6" t="s">
        <v>49</v>
      </c>
    </row>
    <row r="11" ht="14.4" spans="1:18">
      <c r="A11" s="6" t="s">
        <v>1058</v>
      </c>
      <c r="B11" s="11" t="s">
        <v>1011</v>
      </c>
      <c r="C11" s="6" t="s">
        <v>1048</v>
      </c>
      <c r="D11" s="6" t="s">
        <v>1045</v>
      </c>
      <c r="E11" s="6" t="s">
        <v>86</v>
      </c>
      <c r="F11" s="6" t="s">
        <v>87</v>
      </c>
      <c r="G11" s="6" t="s">
        <v>451</v>
      </c>
      <c r="H11" s="6" t="s">
        <v>90</v>
      </c>
      <c r="I11" s="6" t="s">
        <v>20</v>
      </c>
      <c r="J11" s="6" t="s">
        <v>49</v>
      </c>
      <c r="K11" s="6" t="s">
        <v>441</v>
      </c>
      <c r="L11" s="9">
        <v>69.804</v>
      </c>
      <c r="M11" s="9" t="s">
        <v>441</v>
      </c>
      <c r="N11" s="9">
        <f>IFERROR(_xlfn.XLOOKUP(K11&amp;"|"&amp;M11,单位换算!$C$5:$C$30,单位换算!$D$5:$D$30),1)</f>
        <v>1</v>
      </c>
      <c r="O11" s="9">
        <f t="shared" si="0"/>
        <v>69.804</v>
      </c>
      <c r="P11" s="6" t="s">
        <v>1046</v>
      </c>
      <c r="Q11" s="6" t="s">
        <v>49</v>
      </c>
      <c r="R11" s="6" t="s">
        <v>49</v>
      </c>
    </row>
    <row r="12" ht="14.4" spans="1:18">
      <c r="A12" s="6" t="s">
        <v>1059</v>
      </c>
      <c r="B12" s="11" t="s">
        <v>1011</v>
      </c>
      <c r="C12" s="6" t="s">
        <v>1052</v>
      </c>
      <c r="D12" s="6" t="s">
        <v>1049</v>
      </c>
      <c r="E12" s="6" t="s">
        <v>86</v>
      </c>
      <c r="F12" s="6" t="s">
        <v>87</v>
      </c>
      <c r="G12" s="6" t="s">
        <v>452</v>
      </c>
      <c r="H12" s="6" t="s">
        <v>90</v>
      </c>
      <c r="I12" s="6" t="s">
        <v>20</v>
      </c>
      <c r="J12" s="6" t="s">
        <v>49</v>
      </c>
      <c r="K12" s="6" t="s">
        <v>441</v>
      </c>
      <c r="L12" s="9">
        <v>70.801</v>
      </c>
      <c r="M12" s="9" t="s">
        <v>441</v>
      </c>
      <c r="N12" s="9">
        <f>IFERROR(_xlfn.XLOOKUP(K12&amp;"|"&amp;M12,单位换算!$C$5:$C$30,单位换算!$D$5:$D$30),1)</f>
        <v>1</v>
      </c>
      <c r="O12" s="9">
        <f t="shared" si="0"/>
        <v>70.801</v>
      </c>
      <c r="P12" s="6" t="s">
        <v>1050</v>
      </c>
      <c r="Q12" s="6" t="s">
        <v>49</v>
      </c>
      <c r="R12" s="6" t="s">
        <v>49</v>
      </c>
    </row>
    <row r="13" ht="14.4" spans="1:18">
      <c r="A13" s="6" t="s">
        <v>1060</v>
      </c>
      <c r="B13" s="11" t="s">
        <v>1011</v>
      </c>
      <c r="C13" s="6" t="s">
        <v>1054</v>
      </c>
      <c r="D13" s="6" t="s">
        <v>1045</v>
      </c>
      <c r="E13" s="6" t="s">
        <v>91</v>
      </c>
      <c r="F13" s="6" t="s">
        <v>92</v>
      </c>
      <c r="G13" s="6" t="s">
        <v>453</v>
      </c>
      <c r="H13" s="6" t="s">
        <v>95</v>
      </c>
      <c r="I13" s="6" t="s">
        <v>21</v>
      </c>
      <c r="J13" s="6" t="s">
        <v>49</v>
      </c>
      <c r="K13" s="6" t="s">
        <v>437</v>
      </c>
      <c r="L13" s="9">
        <v>117.949</v>
      </c>
      <c r="M13" s="9" t="s">
        <v>437</v>
      </c>
      <c r="N13" s="9">
        <f>IFERROR(_xlfn.XLOOKUP(K13&amp;"|"&amp;M13,单位换算!$C$5:$C$30,单位换算!$D$5:$D$30),1)</f>
        <v>1</v>
      </c>
      <c r="O13" s="9">
        <f t="shared" si="0"/>
        <v>117.949</v>
      </c>
      <c r="P13" s="6" t="s">
        <v>1046</v>
      </c>
      <c r="Q13" s="6" t="s">
        <v>49</v>
      </c>
      <c r="R13" s="6" t="s">
        <v>49</v>
      </c>
    </row>
    <row r="14" ht="14.4" spans="1:18">
      <c r="A14" s="6" t="s">
        <v>1061</v>
      </c>
      <c r="B14" s="11" t="s">
        <v>1011</v>
      </c>
      <c r="C14" s="6" t="s">
        <v>1056</v>
      </c>
      <c r="D14" s="6" t="s">
        <v>1049</v>
      </c>
      <c r="E14" s="6" t="s">
        <v>97</v>
      </c>
      <c r="F14" s="6" t="s">
        <v>98</v>
      </c>
      <c r="G14" s="6" t="s">
        <v>454</v>
      </c>
      <c r="H14" s="6" t="s">
        <v>455</v>
      </c>
      <c r="I14" s="6" t="s">
        <v>20</v>
      </c>
      <c r="J14" s="6" t="s">
        <v>49</v>
      </c>
      <c r="K14" s="6" t="s">
        <v>441</v>
      </c>
      <c r="L14" s="9">
        <v>22.95</v>
      </c>
      <c r="M14" s="9" t="s">
        <v>441</v>
      </c>
      <c r="N14" s="9">
        <f>IFERROR(_xlfn.XLOOKUP(K14&amp;"|"&amp;M14,单位换算!$C$5:$C$30,单位换算!$D$5:$D$30),1)</f>
        <v>1</v>
      </c>
      <c r="O14" s="9">
        <f t="shared" si="0"/>
        <v>22.95</v>
      </c>
      <c r="P14" s="6" t="s">
        <v>1050</v>
      </c>
      <c r="Q14" s="6" t="s">
        <v>49</v>
      </c>
      <c r="R14" s="6" t="s">
        <v>49</v>
      </c>
    </row>
    <row r="15" ht="14.4" spans="1:18">
      <c r="A15" s="6" t="s">
        <v>1062</v>
      </c>
      <c r="B15" s="11" t="s">
        <v>1011</v>
      </c>
      <c r="C15" s="6" t="s">
        <v>1044</v>
      </c>
      <c r="D15" s="6" t="s">
        <v>1045</v>
      </c>
      <c r="E15" s="6" t="s">
        <v>97</v>
      </c>
      <c r="F15" s="6" t="s">
        <v>98</v>
      </c>
      <c r="G15" s="6" t="s">
        <v>456</v>
      </c>
      <c r="H15" s="6" t="s">
        <v>457</v>
      </c>
      <c r="I15" s="6" t="s">
        <v>22</v>
      </c>
      <c r="J15" s="6" t="s">
        <v>49</v>
      </c>
      <c r="K15" s="6" t="s">
        <v>441</v>
      </c>
      <c r="L15" s="9">
        <v>3.51</v>
      </c>
      <c r="M15" s="9" t="s">
        <v>458</v>
      </c>
      <c r="N15" s="9">
        <f>IFERROR(_xlfn.XLOOKUP(K15&amp;"|"&amp;M15,单位换算!$C$5:$C$30,单位换算!$D$5:$D$30),1)</f>
        <v>1</v>
      </c>
      <c r="O15" s="9">
        <f t="shared" si="0"/>
        <v>3.51</v>
      </c>
      <c r="P15" s="6" t="s">
        <v>1046</v>
      </c>
      <c r="Q15" s="6" t="s">
        <v>49</v>
      </c>
      <c r="R15" s="6" t="s">
        <v>49</v>
      </c>
    </row>
    <row r="16" ht="14.4" spans="1:18">
      <c r="A16" s="6" t="s">
        <v>1063</v>
      </c>
      <c r="B16" s="11" t="s">
        <v>1011</v>
      </c>
      <c r="C16" s="6" t="s">
        <v>1048</v>
      </c>
      <c r="D16" s="6" t="s">
        <v>1049</v>
      </c>
      <c r="E16" s="6" t="s">
        <v>97</v>
      </c>
      <c r="F16" s="6" t="s">
        <v>98</v>
      </c>
      <c r="G16" s="6" t="s">
        <v>460</v>
      </c>
      <c r="H16" s="6" t="s">
        <v>461</v>
      </c>
      <c r="I16" s="6" t="s">
        <v>21</v>
      </c>
      <c r="J16" s="6" t="s">
        <v>49</v>
      </c>
      <c r="K16" s="6" t="s">
        <v>441</v>
      </c>
      <c r="L16" s="9">
        <v>2.025</v>
      </c>
      <c r="M16" s="9" t="s">
        <v>437</v>
      </c>
      <c r="N16" s="9">
        <f>IFERROR(_xlfn.XLOOKUP(K16&amp;"|"&amp;M16,单位换算!$C$5:$C$30,单位换算!$D$5:$D$30),1)</f>
        <v>1</v>
      </c>
      <c r="O16" s="9">
        <f t="shared" si="0"/>
        <v>2.025</v>
      </c>
      <c r="P16" s="6" t="s">
        <v>1050</v>
      </c>
      <c r="Q16" s="6" t="s">
        <v>49</v>
      </c>
      <c r="R16" s="6" t="s">
        <v>49</v>
      </c>
    </row>
    <row r="17" ht="14.4" spans="1:18">
      <c r="A17" s="6" t="s">
        <v>1064</v>
      </c>
      <c r="B17" s="11" t="s">
        <v>1011</v>
      </c>
      <c r="C17" s="6" t="s">
        <v>1052</v>
      </c>
      <c r="D17" s="6" t="s">
        <v>1045</v>
      </c>
      <c r="E17" s="6" t="s">
        <v>103</v>
      </c>
      <c r="F17" s="6" t="s">
        <v>104</v>
      </c>
      <c r="G17" s="6" t="s">
        <v>462</v>
      </c>
      <c r="H17" s="6" t="s">
        <v>463</v>
      </c>
      <c r="I17" s="6" t="s">
        <v>21</v>
      </c>
      <c r="J17" s="6" t="s">
        <v>49</v>
      </c>
      <c r="K17" s="6" t="s">
        <v>437</v>
      </c>
      <c r="L17" s="9">
        <v>93.06</v>
      </c>
      <c r="M17" s="9" t="s">
        <v>437</v>
      </c>
      <c r="N17" s="9">
        <f>IFERROR(_xlfn.XLOOKUP(K17&amp;"|"&amp;M17,单位换算!$C$5:$C$30,单位换算!$D$5:$D$30),1)</f>
        <v>1</v>
      </c>
      <c r="O17" s="9">
        <f t="shared" si="0"/>
        <v>93.06</v>
      </c>
      <c r="P17" s="6" t="s">
        <v>1046</v>
      </c>
      <c r="Q17" s="6" t="s">
        <v>49</v>
      </c>
      <c r="R17" s="6" t="s">
        <v>49</v>
      </c>
    </row>
    <row r="18" ht="14.4" spans="1:18">
      <c r="A18" s="6" t="s">
        <v>1065</v>
      </c>
      <c r="B18" s="11" t="s">
        <v>1011</v>
      </c>
      <c r="C18" s="6" t="s">
        <v>1054</v>
      </c>
      <c r="D18" s="6" t="s">
        <v>1049</v>
      </c>
      <c r="E18" s="6" t="s">
        <v>103</v>
      </c>
      <c r="F18" s="6" t="s">
        <v>104</v>
      </c>
      <c r="G18" s="6" t="s">
        <v>464</v>
      </c>
      <c r="H18" s="6" t="s">
        <v>465</v>
      </c>
      <c r="I18" s="6" t="s">
        <v>21</v>
      </c>
      <c r="J18" s="6" t="s">
        <v>49</v>
      </c>
      <c r="K18" s="6" t="s">
        <v>437</v>
      </c>
      <c r="L18" s="9">
        <v>15.228</v>
      </c>
      <c r="M18" s="9" t="s">
        <v>437</v>
      </c>
      <c r="N18" s="9">
        <f>IFERROR(_xlfn.XLOOKUP(K18&amp;"|"&amp;M18,单位换算!$C$5:$C$30,单位换算!$D$5:$D$30),1)</f>
        <v>1</v>
      </c>
      <c r="O18" s="9">
        <f t="shared" si="0"/>
        <v>15.228</v>
      </c>
      <c r="P18" s="6" t="s">
        <v>1050</v>
      </c>
      <c r="Q18" s="6" t="s">
        <v>49</v>
      </c>
      <c r="R18" s="6" t="s">
        <v>49</v>
      </c>
    </row>
    <row r="19" ht="14.4" spans="1:18">
      <c r="A19" s="6" t="s">
        <v>1066</v>
      </c>
      <c r="B19" s="11" t="s">
        <v>1011</v>
      </c>
      <c r="C19" s="6" t="s">
        <v>1056</v>
      </c>
      <c r="D19" s="6" t="s">
        <v>1045</v>
      </c>
      <c r="E19" s="6" t="s">
        <v>109</v>
      </c>
      <c r="F19" s="6" t="s">
        <v>110</v>
      </c>
      <c r="G19" s="6" t="s">
        <v>466</v>
      </c>
      <c r="H19" s="6" t="s">
        <v>455</v>
      </c>
      <c r="I19" s="6" t="s">
        <v>20</v>
      </c>
      <c r="J19" s="6" t="s">
        <v>49</v>
      </c>
      <c r="K19" s="6" t="s">
        <v>441</v>
      </c>
      <c r="L19" s="9">
        <v>25.92</v>
      </c>
      <c r="M19" s="9" t="s">
        <v>441</v>
      </c>
      <c r="N19" s="9">
        <f>IFERROR(_xlfn.XLOOKUP(K19&amp;"|"&amp;M19,单位换算!$C$5:$C$30,单位换算!$D$5:$D$30),1)</f>
        <v>1</v>
      </c>
      <c r="O19" s="9">
        <f t="shared" si="0"/>
        <v>25.92</v>
      </c>
      <c r="P19" s="6" t="s">
        <v>1046</v>
      </c>
      <c r="Q19" s="6" t="s">
        <v>49</v>
      </c>
      <c r="R19" s="6" t="s">
        <v>49</v>
      </c>
    </row>
    <row r="20" ht="14.4" spans="1:18">
      <c r="A20" s="6" t="s">
        <v>1067</v>
      </c>
      <c r="B20" s="11" t="s">
        <v>1011</v>
      </c>
      <c r="C20" s="6" t="s">
        <v>1044</v>
      </c>
      <c r="D20" s="6" t="s">
        <v>1049</v>
      </c>
      <c r="E20" s="6" t="s">
        <v>109</v>
      </c>
      <c r="F20" s="6" t="s">
        <v>110</v>
      </c>
      <c r="G20" s="6" t="s">
        <v>467</v>
      </c>
      <c r="H20" s="6" t="s">
        <v>468</v>
      </c>
      <c r="I20" s="6" t="s">
        <v>21</v>
      </c>
      <c r="J20" s="6" t="s">
        <v>49</v>
      </c>
      <c r="K20" s="6" t="s">
        <v>441</v>
      </c>
      <c r="L20" s="9">
        <v>3.51</v>
      </c>
      <c r="M20" s="9" t="s">
        <v>437</v>
      </c>
      <c r="N20" s="9">
        <f>IFERROR(_xlfn.XLOOKUP(K20&amp;"|"&amp;M20,单位换算!$C$5:$C$30,单位换算!$D$5:$D$30),1)</f>
        <v>1</v>
      </c>
      <c r="O20" s="9">
        <f t="shared" si="0"/>
        <v>3.51</v>
      </c>
      <c r="P20" s="6" t="s">
        <v>1050</v>
      </c>
      <c r="Q20" s="6" t="s">
        <v>49</v>
      </c>
      <c r="R20" s="6" t="s">
        <v>49</v>
      </c>
    </row>
    <row r="21" ht="14.4" spans="1:18">
      <c r="A21" s="6" t="s">
        <v>1068</v>
      </c>
      <c r="B21" s="11" t="s">
        <v>1011</v>
      </c>
      <c r="C21" s="6" t="s">
        <v>1048</v>
      </c>
      <c r="D21" s="6" t="s">
        <v>1045</v>
      </c>
      <c r="E21" s="6" t="s">
        <v>109</v>
      </c>
      <c r="F21" s="6" t="s">
        <v>110</v>
      </c>
      <c r="G21" s="6" t="s">
        <v>469</v>
      </c>
      <c r="H21" s="6" t="s">
        <v>455</v>
      </c>
      <c r="I21" s="6" t="s">
        <v>20</v>
      </c>
      <c r="J21" s="6" t="s">
        <v>49</v>
      </c>
      <c r="K21" s="6" t="s">
        <v>441</v>
      </c>
      <c r="L21" s="9">
        <v>2.16</v>
      </c>
      <c r="M21" s="9" t="s">
        <v>441</v>
      </c>
      <c r="N21" s="9">
        <f>IFERROR(_xlfn.XLOOKUP(K21&amp;"|"&amp;M21,单位换算!$C$5:$C$30,单位换算!$D$5:$D$30),1)</f>
        <v>1</v>
      </c>
      <c r="O21" s="9">
        <f t="shared" si="0"/>
        <v>2.16</v>
      </c>
      <c r="P21" s="6" t="s">
        <v>1046</v>
      </c>
      <c r="Q21" s="6" t="s">
        <v>49</v>
      </c>
      <c r="R21" s="6" t="s">
        <v>49</v>
      </c>
    </row>
    <row r="22" ht="27.6" spans="1:18">
      <c r="A22" s="6" t="s">
        <v>1069</v>
      </c>
      <c r="B22" s="11" t="s">
        <v>1011</v>
      </c>
      <c r="C22" s="6" t="s">
        <v>1052</v>
      </c>
      <c r="D22" s="6" t="s">
        <v>1049</v>
      </c>
      <c r="E22" s="6" t="s">
        <v>115</v>
      </c>
      <c r="F22" s="6" t="s">
        <v>116</v>
      </c>
      <c r="G22" s="6" t="s">
        <v>470</v>
      </c>
      <c r="H22" s="6" t="s">
        <v>471</v>
      </c>
      <c r="I22" s="6" t="s">
        <v>20</v>
      </c>
      <c r="J22" s="6" t="s">
        <v>49</v>
      </c>
      <c r="K22" s="6" t="s">
        <v>441</v>
      </c>
      <c r="L22" s="9">
        <v>21.6</v>
      </c>
      <c r="M22" s="9" t="s">
        <v>441</v>
      </c>
      <c r="N22" s="9">
        <f>IFERROR(_xlfn.XLOOKUP(K22&amp;"|"&amp;M22,单位换算!$C$5:$C$30,单位换算!$D$5:$D$30),1)</f>
        <v>1</v>
      </c>
      <c r="O22" s="9">
        <f t="shared" si="0"/>
        <v>21.6</v>
      </c>
      <c r="P22" s="6" t="s">
        <v>1050</v>
      </c>
      <c r="Q22" s="6" t="s">
        <v>49</v>
      </c>
      <c r="R22" s="6" t="s">
        <v>49</v>
      </c>
    </row>
    <row r="23" spans="2:15">
      <c r="B23" s="12"/>
      <c r="L23" s="13"/>
      <c r="M23" s="13"/>
      <c r="N23" s="13">
        <f>IFERROR(_xlfn.XLOOKUP(K23&amp;"|"&amp;M23,单位换算!$C$5:$C$30,单位换算!$D$5:$D$30),1)</f>
        <v>1</v>
      </c>
      <c r="O23" s="13" t="str">
        <f t="shared" si="0"/>
        <v/>
      </c>
    </row>
    <row r="24" spans="2:15">
      <c r="B24" s="12"/>
      <c r="L24" s="13"/>
      <c r="M24" s="13"/>
      <c r="N24" s="13">
        <f>IFERROR(_xlfn.XLOOKUP(K24&amp;"|"&amp;M24,单位换算!$C$5:$C$30,单位换算!$D$5:$D$30),1)</f>
        <v>1</v>
      </c>
      <c r="O24" s="13" t="str">
        <f t="shared" si="0"/>
        <v/>
      </c>
    </row>
    <row r="25" spans="2:15">
      <c r="B25" s="12"/>
      <c r="L25" s="13"/>
      <c r="M25" s="13"/>
      <c r="N25" s="13">
        <f>IFERROR(_xlfn.XLOOKUP(K25&amp;"|"&amp;M25,单位换算!$C$5:$C$30,单位换算!$D$5:$D$30),1)</f>
        <v>1</v>
      </c>
      <c r="O25" s="13" t="str">
        <f t="shared" si="0"/>
        <v/>
      </c>
    </row>
    <row r="26" spans="2:15">
      <c r="B26" s="12"/>
      <c r="L26" s="13"/>
      <c r="M26" s="13"/>
      <c r="N26" s="13">
        <f>IFERROR(_xlfn.XLOOKUP(K26&amp;"|"&amp;M26,单位换算!$C$5:$C$30,单位换算!$D$5:$D$30),1)</f>
        <v>1</v>
      </c>
      <c r="O26" s="13" t="str">
        <f t="shared" si="0"/>
        <v/>
      </c>
    </row>
    <row r="27" spans="2:15">
      <c r="B27" s="12"/>
      <c r="L27" s="13"/>
      <c r="M27" s="13"/>
      <c r="N27" s="13">
        <f>IFERROR(_xlfn.XLOOKUP(K27&amp;"|"&amp;M27,单位换算!$C$5:$C$30,单位换算!$D$5:$D$30),1)</f>
        <v>1</v>
      </c>
      <c r="O27" s="13" t="str">
        <f t="shared" si="0"/>
        <v/>
      </c>
    </row>
    <row r="28" spans="2:15">
      <c r="B28" s="12"/>
      <c r="L28" s="13"/>
      <c r="M28" s="13"/>
      <c r="N28" s="13">
        <f>IFERROR(_xlfn.XLOOKUP(K28&amp;"|"&amp;M28,单位换算!$C$5:$C$30,单位换算!$D$5:$D$30),1)</f>
        <v>1</v>
      </c>
      <c r="O28" s="13" t="str">
        <f t="shared" si="0"/>
        <v/>
      </c>
    </row>
    <row r="29" spans="2:15">
      <c r="B29" s="12"/>
      <c r="L29" s="13"/>
      <c r="M29" s="13"/>
      <c r="N29" s="13">
        <f>IFERROR(_xlfn.XLOOKUP(K29&amp;"|"&amp;M29,单位换算!$C$5:$C$30,单位换算!$D$5:$D$30),1)</f>
        <v>1</v>
      </c>
      <c r="O29" s="13" t="str">
        <f t="shared" si="0"/>
        <v/>
      </c>
    </row>
    <row r="30" spans="2:15">
      <c r="B30" s="12"/>
      <c r="L30" s="13"/>
      <c r="M30" s="13"/>
      <c r="N30" s="13">
        <f>IFERROR(_xlfn.XLOOKUP(K30&amp;"|"&amp;M30,单位换算!$C$5:$C$30,单位换算!$D$5:$D$30),1)</f>
        <v>1</v>
      </c>
      <c r="O30" s="13" t="str">
        <f t="shared" si="0"/>
        <v/>
      </c>
    </row>
    <row r="31" spans="2:15">
      <c r="B31" s="12"/>
      <c r="L31" s="13"/>
      <c r="M31" s="13"/>
      <c r="N31" s="13">
        <f>IFERROR(_xlfn.XLOOKUP(K31&amp;"|"&amp;M31,单位换算!$C$5:$C$30,单位换算!$D$5:$D$30),1)</f>
        <v>1</v>
      </c>
      <c r="O31" s="13" t="str">
        <f t="shared" si="0"/>
        <v/>
      </c>
    </row>
    <row r="32" spans="2:15">
      <c r="B32" s="12"/>
      <c r="L32" s="13"/>
      <c r="M32" s="13"/>
      <c r="N32" s="13">
        <f>IFERROR(_xlfn.XLOOKUP(K32&amp;"|"&amp;M32,单位换算!$C$5:$C$30,单位换算!$D$5:$D$30),1)</f>
        <v>1</v>
      </c>
      <c r="O32" s="13" t="str">
        <f t="shared" si="0"/>
        <v/>
      </c>
    </row>
    <row r="33" spans="2:15">
      <c r="B33" s="12"/>
      <c r="L33" s="13"/>
      <c r="M33" s="13"/>
      <c r="N33" s="13">
        <f>IFERROR(_xlfn.XLOOKUP(K33&amp;"|"&amp;M33,单位换算!$C$5:$C$30,单位换算!$D$5:$D$30),1)</f>
        <v>1</v>
      </c>
      <c r="O33" s="13" t="str">
        <f t="shared" si="0"/>
        <v/>
      </c>
    </row>
    <row r="34" spans="2:15">
      <c r="B34" s="12"/>
      <c r="L34" s="13"/>
      <c r="M34" s="13"/>
      <c r="N34" s="13">
        <f>IFERROR(_xlfn.XLOOKUP(K34&amp;"|"&amp;M34,单位换算!$C$5:$C$30,单位换算!$D$5:$D$30),1)</f>
        <v>1</v>
      </c>
      <c r="O34" s="13" t="str">
        <f t="shared" si="0"/>
        <v/>
      </c>
    </row>
    <row r="35" spans="2:15">
      <c r="B35" s="12"/>
      <c r="L35" s="13"/>
      <c r="M35" s="13"/>
      <c r="N35" s="13">
        <f>IFERROR(_xlfn.XLOOKUP(K35&amp;"|"&amp;M35,单位换算!$C$5:$C$30,单位换算!$D$5:$D$30),1)</f>
        <v>1</v>
      </c>
      <c r="O35" s="13" t="str">
        <f t="shared" si="0"/>
        <v/>
      </c>
    </row>
    <row r="36" spans="2:15">
      <c r="B36" s="12"/>
      <c r="L36" s="13"/>
      <c r="M36" s="13"/>
      <c r="N36" s="13">
        <f>IFERROR(_xlfn.XLOOKUP(K36&amp;"|"&amp;M36,单位换算!$C$5:$C$30,单位换算!$D$5:$D$30),1)</f>
        <v>1</v>
      </c>
      <c r="O36" s="13" t="str">
        <f t="shared" si="0"/>
        <v/>
      </c>
    </row>
    <row r="37" spans="2:15">
      <c r="B37" s="12"/>
      <c r="L37" s="13"/>
      <c r="M37" s="13"/>
      <c r="N37" s="13">
        <f>IFERROR(_xlfn.XLOOKUP(K37&amp;"|"&amp;M37,单位换算!$C$5:$C$30,单位换算!$D$5:$D$30),1)</f>
        <v>1</v>
      </c>
      <c r="O37" s="13" t="str">
        <f t="shared" si="0"/>
        <v/>
      </c>
    </row>
    <row r="38" spans="2:15">
      <c r="B38" s="12"/>
      <c r="L38" s="13"/>
      <c r="M38" s="13"/>
      <c r="N38" s="13">
        <f>IFERROR(_xlfn.XLOOKUP(K38&amp;"|"&amp;M38,单位换算!$C$5:$C$30,单位换算!$D$5:$D$30),1)</f>
        <v>1</v>
      </c>
      <c r="O38" s="13" t="str">
        <f t="shared" si="0"/>
        <v/>
      </c>
    </row>
    <row r="39" spans="2:15">
      <c r="B39" s="12"/>
      <c r="L39" s="13"/>
      <c r="M39" s="13"/>
      <c r="N39" s="13">
        <f>IFERROR(_xlfn.XLOOKUP(K39&amp;"|"&amp;M39,单位换算!$C$5:$C$30,单位换算!$D$5:$D$30),1)</f>
        <v>1</v>
      </c>
      <c r="O39" s="13" t="str">
        <f t="shared" si="0"/>
        <v/>
      </c>
    </row>
    <row r="40" spans="2:15">
      <c r="B40" s="12"/>
      <c r="L40" s="13"/>
      <c r="M40" s="13"/>
      <c r="N40" s="13">
        <f>IFERROR(_xlfn.XLOOKUP(K40&amp;"|"&amp;M40,单位换算!$C$5:$C$30,单位换算!$D$5:$D$30),1)</f>
        <v>1</v>
      </c>
      <c r="O40" s="13" t="str">
        <f t="shared" si="0"/>
        <v/>
      </c>
    </row>
    <row r="41" spans="2:15">
      <c r="B41" s="12"/>
      <c r="L41" s="13"/>
      <c r="M41" s="13"/>
      <c r="N41" s="13">
        <f>IFERROR(_xlfn.XLOOKUP(K41&amp;"|"&amp;M41,单位换算!$C$5:$C$30,单位换算!$D$5:$D$30),1)</f>
        <v>1</v>
      </c>
      <c r="O41" s="13" t="str">
        <f t="shared" si="0"/>
        <v/>
      </c>
    </row>
    <row r="42" spans="2:15">
      <c r="B42" s="12"/>
      <c r="L42" s="13"/>
      <c r="M42" s="13"/>
      <c r="N42" s="13">
        <f>IFERROR(_xlfn.XLOOKUP(K42&amp;"|"&amp;M42,单位换算!$C$5:$C$30,单位换算!$D$5:$D$30),1)</f>
        <v>1</v>
      </c>
      <c r="O42" s="13" t="str">
        <f t="shared" si="0"/>
        <v/>
      </c>
    </row>
    <row r="43" spans="2:15">
      <c r="B43" s="12"/>
      <c r="L43" s="13"/>
      <c r="M43" s="13"/>
      <c r="N43" s="13">
        <f>IFERROR(_xlfn.XLOOKUP(K43&amp;"|"&amp;M43,单位换算!$C$5:$C$30,单位换算!$D$5:$D$30),1)</f>
        <v>1</v>
      </c>
      <c r="O43" s="13" t="str">
        <f t="shared" si="0"/>
        <v/>
      </c>
    </row>
    <row r="44" spans="2:15">
      <c r="B44" s="12"/>
      <c r="L44" s="13"/>
      <c r="M44" s="13"/>
      <c r="N44" s="13">
        <f>IFERROR(_xlfn.XLOOKUP(K44&amp;"|"&amp;M44,单位换算!$C$5:$C$30,单位换算!$D$5:$D$30),1)</f>
        <v>1</v>
      </c>
      <c r="O44" s="13" t="str">
        <f t="shared" si="0"/>
        <v/>
      </c>
    </row>
    <row r="45" spans="2:15">
      <c r="B45" s="12"/>
      <c r="L45" s="13"/>
      <c r="M45" s="13"/>
      <c r="N45" s="13">
        <f>IFERROR(_xlfn.XLOOKUP(K45&amp;"|"&amp;M45,单位换算!$C$5:$C$30,单位换算!$D$5:$D$30),1)</f>
        <v>1</v>
      </c>
      <c r="O45" s="13" t="str">
        <f t="shared" si="0"/>
        <v/>
      </c>
    </row>
    <row r="46" spans="2:15">
      <c r="B46" s="12"/>
      <c r="L46" s="13"/>
      <c r="M46" s="13"/>
      <c r="N46" s="13">
        <f>IFERROR(_xlfn.XLOOKUP(K46&amp;"|"&amp;M46,单位换算!$C$5:$C$30,单位换算!$D$5:$D$30),1)</f>
        <v>1</v>
      </c>
      <c r="O46" s="13" t="str">
        <f t="shared" si="0"/>
        <v/>
      </c>
    </row>
    <row r="47" spans="2:15">
      <c r="B47" s="12"/>
      <c r="L47" s="13"/>
      <c r="M47" s="13"/>
      <c r="N47" s="13">
        <f>IFERROR(_xlfn.XLOOKUP(K47&amp;"|"&amp;M47,单位换算!$C$5:$C$30,单位换算!$D$5:$D$30),1)</f>
        <v>1</v>
      </c>
      <c r="O47" s="13" t="str">
        <f t="shared" si="0"/>
        <v/>
      </c>
    </row>
    <row r="48" spans="2:15">
      <c r="B48" s="12"/>
      <c r="L48" s="13"/>
      <c r="M48" s="13"/>
      <c r="N48" s="13">
        <f>IFERROR(_xlfn.XLOOKUP(K48&amp;"|"&amp;M48,单位换算!$C$5:$C$30,单位换算!$D$5:$D$30),1)</f>
        <v>1</v>
      </c>
      <c r="O48" s="13" t="str">
        <f t="shared" si="0"/>
        <v/>
      </c>
    </row>
    <row r="49" spans="2:15">
      <c r="B49" s="12"/>
      <c r="L49" s="13"/>
      <c r="M49" s="13"/>
      <c r="N49" s="13">
        <f>IFERROR(_xlfn.XLOOKUP(K49&amp;"|"&amp;M49,单位换算!$C$5:$C$30,单位换算!$D$5:$D$30),1)</f>
        <v>1</v>
      </c>
      <c r="O49" s="13" t="str">
        <f t="shared" si="0"/>
        <v/>
      </c>
    </row>
    <row r="50" spans="2:15">
      <c r="B50" s="12"/>
      <c r="L50" s="13"/>
      <c r="M50" s="13"/>
      <c r="N50" s="13">
        <f>IFERROR(_xlfn.XLOOKUP(K50&amp;"|"&amp;M50,单位换算!$C$5:$C$30,单位换算!$D$5:$D$30),1)</f>
        <v>1</v>
      </c>
      <c r="O50" s="13" t="str">
        <f t="shared" si="0"/>
        <v/>
      </c>
    </row>
    <row r="51" spans="2:15">
      <c r="B51" s="12"/>
      <c r="L51" s="13"/>
      <c r="M51" s="13"/>
      <c r="N51" s="13">
        <f>IFERROR(_xlfn.XLOOKUP(K51&amp;"|"&amp;M51,单位换算!$C$5:$C$30,单位换算!$D$5:$D$30),1)</f>
        <v>1</v>
      </c>
      <c r="O51" s="13" t="str">
        <f t="shared" si="0"/>
        <v/>
      </c>
    </row>
    <row r="52" spans="2:15">
      <c r="B52" s="12"/>
      <c r="L52" s="13"/>
      <c r="M52" s="13"/>
      <c r="N52" s="13">
        <f>IFERROR(_xlfn.XLOOKUP(K52&amp;"|"&amp;M52,单位换算!$C$5:$C$30,单位换算!$D$5:$D$30),1)</f>
        <v>1</v>
      </c>
      <c r="O52" s="13" t="str">
        <f t="shared" si="0"/>
        <v/>
      </c>
    </row>
    <row r="53" spans="2:15">
      <c r="B53" s="12"/>
      <c r="L53" s="13"/>
      <c r="M53" s="13"/>
      <c r="N53" s="13">
        <f>IFERROR(_xlfn.XLOOKUP(K53&amp;"|"&amp;M53,单位换算!$C$5:$C$30,单位换算!$D$5:$D$30),1)</f>
        <v>1</v>
      </c>
      <c r="O53" s="13" t="str">
        <f t="shared" si="0"/>
        <v/>
      </c>
    </row>
    <row r="54" spans="2:15">
      <c r="B54" s="12"/>
      <c r="L54" s="13"/>
      <c r="M54" s="13"/>
      <c r="N54" s="13">
        <f>IFERROR(_xlfn.XLOOKUP(K54&amp;"|"&amp;M54,单位换算!$C$5:$C$30,单位换算!$D$5:$D$30),1)</f>
        <v>1</v>
      </c>
      <c r="O54" s="13" t="str">
        <f t="shared" si="0"/>
        <v/>
      </c>
    </row>
    <row r="55" spans="2:15">
      <c r="B55" s="12"/>
      <c r="L55" s="13"/>
      <c r="M55" s="13"/>
      <c r="N55" s="13">
        <f>IFERROR(_xlfn.XLOOKUP(K55&amp;"|"&amp;M55,单位换算!$C$5:$C$30,单位换算!$D$5:$D$30),1)</f>
        <v>1</v>
      </c>
      <c r="O55" s="13" t="str">
        <f t="shared" si="0"/>
        <v/>
      </c>
    </row>
    <row r="56" spans="2:15">
      <c r="B56" s="12"/>
      <c r="L56" s="13"/>
      <c r="M56" s="13"/>
      <c r="N56" s="13">
        <f>IFERROR(_xlfn.XLOOKUP(K56&amp;"|"&amp;M56,单位换算!$C$5:$C$30,单位换算!$D$5:$D$30),1)</f>
        <v>1</v>
      </c>
      <c r="O56" s="13" t="str">
        <f t="shared" si="0"/>
        <v/>
      </c>
    </row>
    <row r="57" spans="2:15">
      <c r="B57" s="12"/>
      <c r="L57" s="13"/>
      <c r="M57" s="13"/>
      <c r="N57" s="13">
        <f>IFERROR(_xlfn.XLOOKUP(K57&amp;"|"&amp;M57,单位换算!$C$5:$C$30,单位换算!$D$5:$D$30),1)</f>
        <v>1</v>
      </c>
      <c r="O57" s="13" t="str">
        <f t="shared" si="0"/>
        <v/>
      </c>
    </row>
    <row r="58" spans="2:15">
      <c r="B58" s="12"/>
      <c r="L58" s="13"/>
      <c r="M58" s="13"/>
      <c r="N58" s="13">
        <f>IFERROR(_xlfn.XLOOKUP(K58&amp;"|"&amp;M58,单位换算!$C$5:$C$30,单位换算!$D$5:$D$30),1)</f>
        <v>1</v>
      </c>
      <c r="O58" s="13" t="str">
        <f t="shared" si="0"/>
        <v/>
      </c>
    </row>
    <row r="59" spans="2:15">
      <c r="B59" s="12"/>
      <c r="L59" s="13"/>
      <c r="M59" s="13"/>
      <c r="N59" s="13">
        <f>IFERROR(_xlfn.XLOOKUP(K59&amp;"|"&amp;M59,单位换算!$C$5:$C$30,单位换算!$D$5:$D$30),1)</f>
        <v>1</v>
      </c>
      <c r="O59" s="13" t="str">
        <f t="shared" si="0"/>
        <v/>
      </c>
    </row>
    <row r="60" spans="2:15">
      <c r="B60" s="12"/>
      <c r="L60" s="13"/>
      <c r="M60" s="13"/>
      <c r="N60" s="13">
        <f>IFERROR(_xlfn.XLOOKUP(K60&amp;"|"&amp;M60,单位换算!$C$5:$C$30,单位换算!$D$5:$D$30),1)</f>
        <v>1</v>
      </c>
      <c r="O60" s="13" t="str">
        <f t="shared" si="0"/>
        <v/>
      </c>
    </row>
    <row r="61" spans="2:15">
      <c r="B61" s="12"/>
      <c r="L61" s="13"/>
      <c r="M61" s="13"/>
      <c r="N61" s="13">
        <f>IFERROR(_xlfn.XLOOKUP(K61&amp;"|"&amp;M61,单位换算!$C$5:$C$30,单位换算!$D$5:$D$30),1)</f>
        <v>1</v>
      </c>
      <c r="O61" s="13" t="str">
        <f t="shared" si="0"/>
        <v/>
      </c>
    </row>
    <row r="62" spans="2:15">
      <c r="B62" s="12"/>
      <c r="L62" s="13"/>
      <c r="M62" s="13"/>
      <c r="N62" s="13">
        <f>IFERROR(_xlfn.XLOOKUP(K62&amp;"|"&amp;M62,单位换算!$C$5:$C$30,单位换算!$D$5:$D$30),1)</f>
        <v>1</v>
      </c>
      <c r="O62" s="13" t="str">
        <f t="shared" si="0"/>
        <v/>
      </c>
    </row>
    <row r="63" spans="2:15">
      <c r="B63" s="12"/>
      <c r="L63" s="13"/>
      <c r="M63" s="13"/>
      <c r="N63" s="13">
        <f>IFERROR(_xlfn.XLOOKUP(K63&amp;"|"&amp;M63,单位换算!$C$5:$C$30,单位换算!$D$5:$D$30),1)</f>
        <v>1</v>
      </c>
      <c r="O63" s="13" t="str">
        <f t="shared" si="0"/>
        <v/>
      </c>
    </row>
    <row r="64" spans="2:15">
      <c r="B64" s="12"/>
      <c r="L64" s="13"/>
      <c r="M64" s="13"/>
      <c r="N64" s="13">
        <f>IFERROR(_xlfn.XLOOKUP(K64&amp;"|"&amp;M64,单位换算!$C$5:$C$30,单位换算!$D$5:$D$30),1)</f>
        <v>1</v>
      </c>
      <c r="O64" s="13" t="str">
        <f t="shared" si="0"/>
        <v/>
      </c>
    </row>
    <row r="65" spans="2:15">
      <c r="B65" s="12"/>
      <c r="L65" s="13"/>
      <c r="M65" s="13"/>
      <c r="N65" s="13">
        <f>IFERROR(_xlfn.XLOOKUP(K65&amp;"|"&amp;M65,单位换算!$C$5:$C$30,单位换算!$D$5:$D$30),1)</f>
        <v>1</v>
      </c>
      <c r="O65" s="13" t="str">
        <f t="shared" si="0"/>
        <v/>
      </c>
    </row>
    <row r="66" spans="2:15">
      <c r="B66" s="12"/>
      <c r="L66" s="13"/>
      <c r="M66" s="13"/>
      <c r="N66" s="13">
        <f>IFERROR(_xlfn.XLOOKUP(K66&amp;"|"&amp;M66,单位换算!$C$5:$C$30,单位换算!$D$5:$D$30),1)</f>
        <v>1</v>
      </c>
      <c r="O66" s="13" t="str">
        <f t="shared" si="0"/>
        <v/>
      </c>
    </row>
    <row r="67" spans="2:15">
      <c r="B67" s="12"/>
      <c r="L67" s="13"/>
      <c r="M67" s="13"/>
      <c r="N67" s="13">
        <f>IFERROR(_xlfn.XLOOKUP(K67&amp;"|"&amp;M67,单位换算!$C$5:$C$30,单位换算!$D$5:$D$30),1)</f>
        <v>1</v>
      </c>
      <c r="O67" s="13" t="str">
        <f t="shared" si="0"/>
        <v/>
      </c>
    </row>
    <row r="68" spans="2:15">
      <c r="B68" s="12"/>
      <c r="L68" s="13"/>
      <c r="M68" s="13"/>
      <c r="N68" s="13">
        <f>IFERROR(_xlfn.XLOOKUP(K68&amp;"|"&amp;M68,单位换算!$C$5:$C$30,单位换算!$D$5:$D$30),1)</f>
        <v>1</v>
      </c>
      <c r="O68" s="13" t="str">
        <f t="shared" si="0"/>
        <v/>
      </c>
    </row>
    <row r="69" spans="2:15">
      <c r="B69" s="12"/>
      <c r="L69" s="13"/>
      <c r="M69" s="13"/>
      <c r="N69" s="13">
        <f>IFERROR(_xlfn.XLOOKUP(K69&amp;"|"&amp;M69,单位换算!$C$5:$C$30,单位换算!$D$5:$D$30),1)</f>
        <v>1</v>
      </c>
      <c r="O69" s="13" t="str">
        <f t="shared" ref="O69:O132" si="1">IF(L69="","",L69*N69)</f>
        <v/>
      </c>
    </row>
    <row r="70" spans="2:15">
      <c r="B70" s="12"/>
      <c r="L70" s="13"/>
      <c r="M70" s="13"/>
      <c r="N70" s="13">
        <f>IFERROR(_xlfn.XLOOKUP(K70&amp;"|"&amp;M70,单位换算!$C$5:$C$30,单位换算!$D$5:$D$30),1)</f>
        <v>1</v>
      </c>
      <c r="O70" s="13" t="str">
        <f t="shared" si="1"/>
        <v/>
      </c>
    </row>
    <row r="71" spans="2:15">
      <c r="B71" s="12"/>
      <c r="L71" s="13"/>
      <c r="M71" s="13"/>
      <c r="N71" s="13">
        <f>IFERROR(_xlfn.XLOOKUP(K71&amp;"|"&amp;M71,单位换算!$C$5:$C$30,单位换算!$D$5:$D$30),1)</f>
        <v>1</v>
      </c>
      <c r="O71" s="13" t="str">
        <f t="shared" si="1"/>
        <v/>
      </c>
    </row>
    <row r="72" spans="2:15">
      <c r="B72" s="12"/>
      <c r="L72" s="13"/>
      <c r="M72" s="13"/>
      <c r="N72" s="13">
        <f>IFERROR(_xlfn.XLOOKUP(K72&amp;"|"&amp;M72,单位换算!$C$5:$C$30,单位换算!$D$5:$D$30),1)</f>
        <v>1</v>
      </c>
      <c r="O72" s="13" t="str">
        <f t="shared" si="1"/>
        <v/>
      </c>
    </row>
    <row r="73" spans="2:15">
      <c r="B73" s="12"/>
      <c r="L73" s="13"/>
      <c r="M73" s="13"/>
      <c r="N73" s="13">
        <f>IFERROR(_xlfn.XLOOKUP(K73&amp;"|"&amp;M73,单位换算!$C$5:$C$30,单位换算!$D$5:$D$30),1)</f>
        <v>1</v>
      </c>
      <c r="O73" s="13" t="str">
        <f t="shared" si="1"/>
        <v/>
      </c>
    </row>
    <row r="74" spans="2:15">
      <c r="B74" s="12"/>
      <c r="L74" s="13"/>
      <c r="M74" s="13"/>
      <c r="N74" s="13">
        <f>IFERROR(_xlfn.XLOOKUP(K74&amp;"|"&amp;M74,单位换算!$C$5:$C$30,单位换算!$D$5:$D$30),1)</f>
        <v>1</v>
      </c>
      <c r="O74" s="13" t="str">
        <f t="shared" si="1"/>
        <v/>
      </c>
    </row>
    <row r="75" spans="2:15">
      <c r="B75" s="12"/>
      <c r="L75" s="13"/>
      <c r="M75" s="13"/>
      <c r="N75" s="13">
        <f>IFERROR(_xlfn.XLOOKUP(K75&amp;"|"&amp;M75,单位换算!$C$5:$C$30,单位换算!$D$5:$D$30),1)</f>
        <v>1</v>
      </c>
      <c r="O75" s="13" t="str">
        <f t="shared" si="1"/>
        <v/>
      </c>
    </row>
    <row r="76" spans="2:15">
      <c r="B76" s="12"/>
      <c r="L76" s="13"/>
      <c r="M76" s="13"/>
      <c r="N76" s="13">
        <f>IFERROR(_xlfn.XLOOKUP(K76&amp;"|"&amp;M76,单位换算!$C$5:$C$30,单位换算!$D$5:$D$30),1)</f>
        <v>1</v>
      </c>
      <c r="O76" s="13" t="str">
        <f t="shared" si="1"/>
        <v/>
      </c>
    </row>
    <row r="77" spans="2:15">
      <c r="B77" s="12"/>
      <c r="L77" s="13"/>
      <c r="M77" s="13"/>
      <c r="N77" s="13">
        <f>IFERROR(_xlfn.XLOOKUP(K77&amp;"|"&amp;M77,单位换算!$C$5:$C$30,单位换算!$D$5:$D$30),1)</f>
        <v>1</v>
      </c>
      <c r="O77" s="13" t="str">
        <f t="shared" si="1"/>
        <v/>
      </c>
    </row>
    <row r="78" spans="2:15">
      <c r="B78" s="12"/>
      <c r="L78" s="13"/>
      <c r="M78" s="13"/>
      <c r="N78" s="13">
        <f>IFERROR(_xlfn.XLOOKUP(K78&amp;"|"&amp;M78,单位换算!$C$5:$C$30,单位换算!$D$5:$D$30),1)</f>
        <v>1</v>
      </c>
      <c r="O78" s="13" t="str">
        <f t="shared" si="1"/>
        <v/>
      </c>
    </row>
    <row r="79" spans="2:15">
      <c r="B79" s="12"/>
      <c r="L79" s="13"/>
      <c r="M79" s="13"/>
      <c r="N79" s="13">
        <f>IFERROR(_xlfn.XLOOKUP(K79&amp;"|"&amp;M79,单位换算!$C$5:$C$30,单位换算!$D$5:$D$30),1)</f>
        <v>1</v>
      </c>
      <c r="O79" s="13" t="str">
        <f t="shared" si="1"/>
        <v/>
      </c>
    </row>
    <row r="80" spans="2:15">
      <c r="B80" s="12"/>
      <c r="L80" s="13"/>
      <c r="M80" s="13"/>
      <c r="N80" s="13">
        <f>IFERROR(_xlfn.XLOOKUP(K80&amp;"|"&amp;M80,单位换算!$C$5:$C$30,单位换算!$D$5:$D$30),1)</f>
        <v>1</v>
      </c>
      <c r="O80" s="13" t="str">
        <f t="shared" si="1"/>
        <v/>
      </c>
    </row>
    <row r="81" spans="2:15">
      <c r="B81" s="12"/>
      <c r="L81" s="13"/>
      <c r="M81" s="13"/>
      <c r="N81" s="13">
        <f>IFERROR(_xlfn.XLOOKUP(K81&amp;"|"&amp;M81,单位换算!$C$5:$C$30,单位换算!$D$5:$D$30),1)</f>
        <v>1</v>
      </c>
      <c r="O81" s="13" t="str">
        <f t="shared" si="1"/>
        <v/>
      </c>
    </row>
    <row r="82" spans="2:15">
      <c r="B82" s="12"/>
      <c r="L82" s="13"/>
      <c r="M82" s="13"/>
      <c r="N82" s="13">
        <f>IFERROR(_xlfn.XLOOKUP(K82&amp;"|"&amp;M82,单位换算!$C$5:$C$30,单位换算!$D$5:$D$30),1)</f>
        <v>1</v>
      </c>
      <c r="O82" s="13" t="str">
        <f t="shared" si="1"/>
        <v/>
      </c>
    </row>
    <row r="83" spans="2:15">
      <c r="B83" s="12"/>
      <c r="L83" s="13"/>
      <c r="M83" s="13"/>
      <c r="N83" s="13">
        <f>IFERROR(_xlfn.XLOOKUP(K83&amp;"|"&amp;M83,单位换算!$C$5:$C$30,单位换算!$D$5:$D$30),1)</f>
        <v>1</v>
      </c>
      <c r="O83" s="13" t="str">
        <f t="shared" si="1"/>
        <v/>
      </c>
    </row>
    <row r="84" spans="2:15">
      <c r="B84" s="12"/>
      <c r="L84" s="13"/>
      <c r="M84" s="13"/>
      <c r="N84" s="13">
        <f>IFERROR(_xlfn.XLOOKUP(K84&amp;"|"&amp;M84,单位换算!$C$5:$C$30,单位换算!$D$5:$D$30),1)</f>
        <v>1</v>
      </c>
      <c r="O84" s="13" t="str">
        <f t="shared" si="1"/>
        <v/>
      </c>
    </row>
    <row r="85" spans="2:15">
      <c r="B85" s="12"/>
      <c r="L85" s="13"/>
      <c r="M85" s="13"/>
      <c r="N85" s="13">
        <f>IFERROR(_xlfn.XLOOKUP(K85&amp;"|"&amp;M85,单位换算!$C$5:$C$30,单位换算!$D$5:$D$30),1)</f>
        <v>1</v>
      </c>
      <c r="O85" s="13" t="str">
        <f t="shared" si="1"/>
        <v/>
      </c>
    </row>
    <row r="86" spans="2:15">
      <c r="B86" s="12"/>
      <c r="L86" s="13"/>
      <c r="M86" s="13"/>
      <c r="N86" s="13">
        <f>IFERROR(_xlfn.XLOOKUP(K86&amp;"|"&amp;M86,单位换算!$C$5:$C$30,单位换算!$D$5:$D$30),1)</f>
        <v>1</v>
      </c>
      <c r="O86" s="13" t="str">
        <f t="shared" si="1"/>
        <v/>
      </c>
    </row>
    <row r="87" spans="2:15">
      <c r="B87" s="12"/>
      <c r="L87" s="13"/>
      <c r="M87" s="13"/>
      <c r="N87" s="13">
        <f>IFERROR(_xlfn.XLOOKUP(K87&amp;"|"&amp;M87,单位换算!$C$5:$C$30,单位换算!$D$5:$D$30),1)</f>
        <v>1</v>
      </c>
      <c r="O87" s="13" t="str">
        <f t="shared" si="1"/>
        <v/>
      </c>
    </row>
    <row r="88" spans="2:15">
      <c r="B88" s="12"/>
      <c r="L88" s="13"/>
      <c r="M88" s="13"/>
      <c r="N88" s="13">
        <f>IFERROR(_xlfn.XLOOKUP(K88&amp;"|"&amp;M88,单位换算!$C$5:$C$30,单位换算!$D$5:$D$30),1)</f>
        <v>1</v>
      </c>
      <c r="O88" s="13" t="str">
        <f t="shared" si="1"/>
        <v/>
      </c>
    </row>
    <row r="89" spans="2:15">
      <c r="B89" s="12"/>
      <c r="L89" s="13"/>
      <c r="M89" s="13"/>
      <c r="N89" s="13">
        <f>IFERROR(_xlfn.XLOOKUP(K89&amp;"|"&amp;M89,单位换算!$C$5:$C$30,单位换算!$D$5:$D$30),1)</f>
        <v>1</v>
      </c>
      <c r="O89" s="13" t="str">
        <f t="shared" si="1"/>
        <v/>
      </c>
    </row>
    <row r="90" spans="2:15">
      <c r="B90" s="12"/>
      <c r="L90" s="13"/>
      <c r="M90" s="13"/>
      <c r="N90" s="13">
        <f>IFERROR(_xlfn.XLOOKUP(K90&amp;"|"&amp;M90,单位换算!$C$5:$C$30,单位换算!$D$5:$D$30),1)</f>
        <v>1</v>
      </c>
      <c r="O90" s="13" t="str">
        <f t="shared" si="1"/>
        <v/>
      </c>
    </row>
    <row r="91" spans="2:15">
      <c r="B91" s="12"/>
      <c r="L91" s="13"/>
      <c r="M91" s="13"/>
      <c r="N91" s="13">
        <f>IFERROR(_xlfn.XLOOKUP(K91&amp;"|"&amp;M91,单位换算!$C$5:$C$30,单位换算!$D$5:$D$30),1)</f>
        <v>1</v>
      </c>
      <c r="O91" s="13" t="str">
        <f t="shared" si="1"/>
        <v/>
      </c>
    </row>
    <row r="92" spans="2:15">
      <c r="B92" s="12"/>
      <c r="L92" s="13"/>
      <c r="M92" s="13"/>
      <c r="N92" s="13">
        <f>IFERROR(_xlfn.XLOOKUP(K92&amp;"|"&amp;M92,单位换算!$C$5:$C$30,单位换算!$D$5:$D$30),1)</f>
        <v>1</v>
      </c>
      <c r="O92" s="13" t="str">
        <f t="shared" si="1"/>
        <v/>
      </c>
    </row>
    <row r="93" spans="2:15">
      <c r="B93" s="12"/>
      <c r="L93" s="13"/>
      <c r="M93" s="13"/>
      <c r="N93" s="13">
        <f>IFERROR(_xlfn.XLOOKUP(K93&amp;"|"&amp;M93,单位换算!$C$5:$C$30,单位换算!$D$5:$D$30),1)</f>
        <v>1</v>
      </c>
      <c r="O93" s="13" t="str">
        <f t="shared" si="1"/>
        <v/>
      </c>
    </row>
    <row r="94" spans="2:15">
      <c r="B94" s="12"/>
      <c r="L94" s="13"/>
      <c r="M94" s="13"/>
      <c r="N94" s="13">
        <f>IFERROR(_xlfn.XLOOKUP(K94&amp;"|"&amp;M94,单位换算!$C$5:$C$30,单位换算!$D$5:$D$30),1)</f>
        <v>1</v>
      </c>
      <c r="O94" s="13" t="str">
        <f t="shared" si="1"/>
        <v/>
      </c>
    </row>
    <row r="95" spans="2:15">
      <c r="B95" s="12"/>
      <c r="L95" s="13"/>
      <c r="M95" s="13"/>
      <c r="N95" s="13">
        <f>IFERROR(_xlfn.XLOOKUP(K95&amp;"|"&amp;M95,单位换算!$C$5:$C$30,单位换算!$D$5:$D$30),1)</f>
        <v>1</v>
      </c>
      <c r="O95" s="13" t="str">
        <f t="shared" si="1"/>
        <v/>
      </c>
    </row>
    <row r="96" spans="2:15">
      <c r="B96" s="12"/>
      <c r="L96" s="13"/>
      <c r="M96" s="13"/>
      <c r="N96" s="13">
        <f>IFERROR(_xlfn.XLOOKUP(K96&amp;"|"&amp;M96,单位换算!$C$5:$C$30,单位换算!$D$5:$D$30),1)</f>
        <v>1</v>
      </c>
      <c r="O96" s="13" t="str">
        <f t="shared" si="1"/>
        <v/>
      </c>
    </row>
    <row r="97" spans="2:15">
      <c r="B97" s="12"/>
      <c r="L97" s="13"/>
      <c r="M97" s="13"/>
      <c r="N97" s="13">
        <f>IFERROR(_xlfn.XLOOKUP(K97&amp;"|"&amp;M97,单位换算!$C$5:$C$30,单位换算!$D$5:$D$30),1)</f>
        <v>1</v>
      </c>
      <c r="O97" s="13" t="str">
        <f t="shared" si="1"/>
        <v/>
      </c>
    </row>
    <row r="98" spans="2:15">
      <c r="B98" s="12"/>
      <c r="L98" s="13"/>
      <c r="M98" s="13"/>
      <c r="N98" s="13">
        <f>IFERROR(_xlfn.XLOOKUP(K98&amp;"|"&amp;M98,单位换算!$C$5:$C$30,单位换算!$D$5:$D$30),1)</f>
        <v>1</v>
      </c>
      <c r="O98" s="13" t="str">
        <f t="shared" si="1"/>
        <v/>
      </c>
    </row>
    <row r="99" spans="2:15">
      <c r="B99" s="12"/>
      <c r="L99" s="13"/>
      <c r="M99" s="13"/>
      <c r="N99" s="13">
        <f>IFERROR(_xlfn.XLOOKUP(K99&amp;"|"&amp;M99,单位换算!$C$5:$C$30,单位换算!$D$5:$D$30),1)</f>
        <v>1</v>
      </c>
      <c r="O99" s="13" t="str">
        <f t="shared" si="1"/>
        <v/>
      </c>
    </row>
    <row r="100" spans="2:15">
      <c r="B100" s="12"/>
      <c r="L100" s="13"/>
      <c r="M100" s="13"/>
      <c r="N100" s="13">
        <f>IFERROR(_xlfn.XLOOKUP(K100&amp;"|"&amp;M100,单位换算!$C$5:$C$30,单位换算!$D$5:$D$30),1)</f>
        <v>1</v>
      </c>
      <c r="O100" s="13" t="str">
        <f t="shared" si="1"/>
        <v/>
      </c>
    </row>
    <row r="101" spans="2:15">
      <c r="B101" s="12"/>
      <c r="L101" s="13"/>
      <c r="M101" s="13"/>
      <c r="N101" s="13">
        <f>IFERROR(_xlfn.XLOOKUP(K101&amp;"|"&amp;M101,单位换算!$C$5:$C$30,单位换算!$D$5:$D$30),1)</f>
        <v>1</v>
      </c>
      <c r="O101" s="13" t="str">
        <f t="shared" si="1"/>
        <v/>
      </c>
    </row>
    <row r="102" spans="2:15">
      <c r="B102" s="12"/>
      <c r="L102" s="13"/>
      <c r="M102" s="13"/>
      <c r="N102" s="13">
        <f>IFERROR(_xlfn.XLOOKUP(K102&amp;"|"&amp;M102,单位换算!$C$5:$C$30,单位换算!$D$5:$D$30),1)</f>
        <v>1</v>
      </c>
      <c r="O102" s="13" t="str">
        <f t="shared" si="1"/>
        <v/>
      </c>
    </row>
    <row r="103" spans="2:15">
      <c r="B103" s="12"/>
      <c r="L103" s="13"/>
      <c r="M103" s="13"/>
      <c r="N103" s="13">
        <f>IFERROR(_xlfn.XLOOKUP(K103&amp;"|"&amp;M103,单位换算!$C$5:$C$30,单位换算!$D$5:$D$30),1)</f>
        <v>1</v>
      </c>
      <c r="O103" s="13" t="str">
        <f t="shared" si="1"/>
        <v/>
      </c>
    </row>
    <row r="104" spans="2:15">
      <c r="B104" s="12"/>
      <c r="L104" s="13"/>
      <c r="M104" s="13"/>
      <c r="N104" s="13">
        <f>IFERROR(_xlfn.XLOOKUP(K104&amp;"|"&amp;M104,单位换算!$C$5:$C$30,单位换算!$D$5:$D$30),1)</f>
        <v>1</v>
      </c>
      <c r="O104" s="13" t="str">
        <f t="shared" si="1"/>
        <v/>
      </c>
    </row>
    <row r="105" spans="2:15">
      <c r="B105" s="12"/>
      <c r="L105" s="13"/>
      <c r="M105" s="13"/>
      <c r="N105" s="13">
        <f>IFERROR(_xlfn.XLOOKUP(K105&amp;"|"&amp;M105,单位换算!$C$5:$C$30,单位换算!$D$5:$D$30),1)</f>
        <v>1</v>
      </c>
      <c r="O105" s="13" t="str">
        <f t="shared" si="1"/>
        <v/>
      </c>
    </row>
    <row r="106" spans="2:15">
      <c r="B106" s="12"/>
      <c r="L106" s="13"/>
      <c r="M106" s="13"/>
      <c r="N106" s="13">
        <f>IFERROR(_xlfn.XLOOKUP(K106&amp;"|"&amp;M106,单位换算!$C$5:$C$30,单位换算!$D$5:$D$30),1)</f>
        <v>1</v>
      </c>
      <c r="O106" s="13" t="str">
        <f t="shared" si="1"/>
        <v/>
      </c>
    </row>
    <row r="107" spans="2:15">
      <c r="B107" s="12"/>
      <c r="L107" s="13"/>
      <c r="M107" s="13"/>
      <c r="N107" s="13">
        <f>IFERROR(_xlfn.XLOOKUP(K107&amp;"|"&amp;M107,单位换算!$C$5:$C$30,单位换算!$D$5:$D$30),1)</f>
        <v>1</v>
      </c>
      <c r="O107" s="13" t="str">
        <f t="shared" si="1"/>
        <v/>
      </c>
    </row>
    <row r="108" spans="2:15">
      <c r="B108" s="12"/>
      <c r="L108" s="13"/>
      <c r="M108" s="13"/>
      <c r="N108" s="13">
        <f>IFERROR(_xlfn.XLOOKUP(K108&amp;"|"&amp;M108,单位换算!$C$5:$C$30,单位换算!$D$5:$D$30),1)</f>
        <v>1</v>
      </c>
      <c r="O108" s="13" t="str">
        <f t="shared" si="1"/>
        <v/>
      </c>
    </row>
    <row r="109" spans="2:15">
      <c r="B109" s="12"/>
      <c r="L109" s="13"/>
      <c r="M109" s="13"/>
      <c r="N109" s="13">
        <f>IFERROR(_xlfn.XLOOKUP(K109&amp;"|"&amp;M109,单位换算!$C$5:$C$30,单位换算!$D$5:$D$30),1)</f>
        <v>1</v>
      </c>
      <c r="O109" s="13" t="str">
        <f t="shared" si="1"/>
        <v/>
      </c>
    </row>
    <row r="110" spans="2:15">
      <c r="B110" s="12"/>
      <c r="L110" s="13"/>
      <c r="M110" s="13"/>
      <c r="N110" s="13">
        <f>IFERROR(_xlfn.XLOOKUP(K110&amp;"|"&amp;M110,单位换算!$C$5:$C$30,单位换算!$D$5:$D$30),1)</f>
        <v>1</v>
      </c>
      <c r="O110" s="13" t="str">
        <f t="shared" si="1"/>
        <v/>
      </c>
    </row>
    <row r="111" spans="2:15">
      <c r="B111" s="12"/>
      <c r="L111" s="13"/>
      <c r="M111" s="13"/>
      <c r="N111" s="13">
        <f>IFERROR(_xlfn.XLOOKUP(K111&amp;"|"&amp;M111,单位换算!$C$5:$C$30,单位换算!$D$5:$D$30),1)</f>
        <v>1</v>
      </c>
      <c r="O111" s="13" t="str">
        <f t="shared" si="1"/>
        <v/>
      </c>
    </row>
    <row r="112" spans="2:15">
      <c r="B112" s="12"/>
      <c r="L112" s="13"/>
      <c r="M112" s="13"/>
      <c r="N112" s="13">
        <f>IFERROR(_xlfn.XLOOKUP(K112&amp;"|"&amp;M112,单位换算!$C$5:$C$30,单位换算!$D$5:$D$30),1)</f>
        <v>1</v>
      </c>
      <c r="O112" s="13" t="str">
        <f t="shared" si="1"/>
        <v/>
      </c>
    </row>
    <row r="113" spans="2:15">
      <c r="B113" s="12"/>
      <c r="L113" s="13"/>
      <c r="M113" s="13"/>
      <c r="N113" s="13">
        <f>IFERROR(_xlfn.XLOOKUP(K113&amp;"|"&amp;M113,单位换算!$C$5:$C$30,单位换算!$D$5:$D$30),1)</f>
        <v>1</v>
      </c>
      <c r="O113" s="13" t="str">
        <f t="shared" si="1"/>
        <v/>
      </c>
    </row>
    <row r="114" spans="2:15">
      <c r="B114" s="12"/>
      <c r="L114" s="13"/>
      <c r="M114" s="13"/>
      <c r="N114" s="13">
        <f>IFERROR(_xlfn.XLOOKUP(K114&amp;"|"&amp;M114,单位换算!$C$5:$C$30,单位换算!$D$5:$D$30),1)</f>
        <v>1</v>
      </c>
      <c r="O114" s="13" t="str">
        <f t="shared" si="1"/>
        <v/>
      </c>
    </row>
    <row r="115" spans="2:15">
      <c r="B115" s="12"/>
      <c r="L115" s="13"/>
      <c r="M115" s="13"/>
      <c r="N115" s="13">
        <f>IFERROR(_xlfn.XLOOKUP(K115&amp;"|"&amp;M115,单位换算!$C$5:$C$30,单位换算!$D$5:$D$30),1)</f>
        <v>1</v>
      </c>
      <c r="O115" s="13" t="str">
        <f t="shared" si="1"/>
        <v/>
      </c>
    </row>
    <row r="116" spans="2:15">
      <c r="B116" s="12"/>
      <c r="L116" s="13"/>
      <c r="M116" s="13"/>
      <c r="N116" s="13">
        <f>IFERROR(_xlfn.XLOOKUP(K116&amp;"|"&amp;M116,单位换算!$C$5:$C$30,单位换算!$D$5:$D$30),1)</f>
        <v>1</v>
      </c>
      <c r="O116" s="13" t="str">
        <f t="shared" si="1"/>
        <v/>
      </c>
    </row>
    <row r="117" spans="2:15">
      <c r="B117" s="12"/>
      <c r="L117" s="13"/>
      <c r="M117" s="13"/>
      <c r="N117" s="13">
        <f>IFERROR(_xlfn.XLOOKUP(K117&amp;"|"&amp;M117,单位换算!$C$5:$C$30,单位换算!$D$5:$D$30),1)</f>
        <v>1</v>
      </c>
      <c r="O117" s="13" t="str">
        <f t="shared" si="1"/>
        <v/>
      </c>
    </row>
    <row r="118" spans="2:15">
      <c r="B118" s="12"/>
      <c r="L118" s="13"/>
      <c r="M118" s="13"/>
      <c r="N118" s="13">
        <f>IFERROR(_xlfn.XLOOKUP(K118&amp;"|"&amp;M118,单位换算!$C$5:$C$30,单位换算!$D$5:$D$30),1)</f>
        <v>1</v>
      </c>
      <c r="O118" s="13" t="str">
        <f t="shared" si="1"/>
        <v/>
      </c>
    </row>
    <row r="119" spans="2:15">
      <c r="B119" s="12"/>
      <c r="L119" s="13"/>
      <c r="M119" s="13"/>
      <c r="N119" s="13">
        <f>IFERROR(_xlfn.XLOOKUP(K119&amp;"|"&amp;M119,单位换算!$C$5:$C$30,单位换算!$D$5:$D$30),1)</f>
        <v>1</v>
      </c>
      <c r="O119" s="13" t="str">
        <f t="shared" si="1"/>
        <v/>
      </c>
    </row>
    <row r="120" spans="2:15">
      <c r="B120" s="12"/>
      <c r="L120" s="13"/>
      <c r="M120" s="13"/>
      <c r="N120" s="13">
        <f>IFERROR(_xlfn.XLOOKUP(K120&amp;"|"&amp;M120,单位换算!$C$5:$C$30,单位换算!$D$5:$D$30),1)</f>
        <v>1</v>
      </c>
      <c r="O120" s="13" t="str">
        <f t="shared" si="1"/>
        <v/>
      </c>
    </row>
    <row r="121" spans="2:15">
      <c r="B121" s="12"/>
      <c r="L121" s="13"/>
      <c r="M121" s="13"/>
      <c r="N121" s="13">
        <f>IFERROR(_xlfn.XLOOKUP(K121&amp;"|"&amp;M121,单位换算!$C$5:$C$30,单位换算!$D$5:$D$30),1)</f>
        <v>1</v>
      </c>
      <c r="O121" s="13" t="str">
        <f t="shared" si="1"/>
        <v/>
      </c>
    </row>
    <row r="122" spans="2:15">
      <c r="B122" s="12"/>
      <c r="L122" s="13"/>
      <c r="M122" s="13"/>
      <c r="N122" s="13">
        <f>IFERROR(_xlfn.XLOOKUP(K122&amp;"|"&amp;M122,单位换算!$C$5:$C$30,单位换算!$D$5:$D$30),1)</f>
        <v>1</v>
      </c>
      <c r="O122" s="13" t="str">
        <f t="shared" si="1"/>
        <v/>
      </c>
    </row>
    <row r="123" spans="2:15">
      <c r="B123" s="12"/>
      <c r="L123" s="13"/>
      <c r="M123" s="13"/>
      <c r="N123" s="13">
        <f>IFERROR(_xlfn.XLOOKUP(K123&amp;"|"&amp;M123,单位换算!$C$5:$C$30,单位换算!$D$5:$D$30),1)</f>
        <v>1</v>
      </c>
      <c r="O123" s="13" t="str">
        <f t="shared" si="1"/>
        <v/>
      </c>
    </row>
    <row r="124" spans="2:15">
      <c r="B124" s="12"/>
      <c r="L124" s="13"/>
      <c r="M124" s="13"/>
      <c r="N124" s="13">
        <f>IFERROR(_xlfn.XLOOKUP(K124&amp;"|"&amp;M124,单位换算!$C$5:$C$30,单位换算!$D$5:$D$30),1)</f>
        <v>1</v>
      </c>
      <c r="O124" s="13" t="str">
        <f t="shared" si="1"/>
        <v/>
      </c>
    </row>
    <row r="125" spans="2:15">
      <c r="B125" s="12"/>
      <c r="L125" s="13"/>
      <c r="M125" s="13"/>
      <c r="N125" s="13">
        <f>IFERROR(_xlfn.XLOOKUP(K125&amp;"|"&amp;M125,单位换算!$C$5:$C$30,单位换算!$D$5:$D$30),1)</f>
        <v>1</v>
      </c>
      <c r="O125" s="13" t="str">
        <f t="shared" si="1"/>
        <v/>
      </c>
    </row>
    <row r="126" spans="2:15">
      <c r="B126" s="12"/>
      <c r="L126" s="13"/>
      <c r="M126" s="13"/>
      <c r="N126" s="13">
        <f>IFERROR(_xlfn.XLOOKUP(K126&amp;"|"&amp;M126,单位换算!$C$5:$C$30,单位换算!$D$5:$D$30),1)</f>
        <v>1</v>
      </c>
      <c r="O126" s="13" t="str">
        <f t="shared" si="1"/>
        <v/>
      </c>
    </row>
    <row r="127" spans="2:15">
      <c r="B127" s="12"/>
      <c r="L127" s="13"/>
      <c r="M127" s="13"/>
      <c r="N127" s="13">
        <f>IFERROR(_xlfn.XLOOKUP(K127&amp;"|"&amp;M127,单位换算!$C$5:$C$30,单位换算!$D$5:$D$30),1)</f>
        <v>1</v>
      </c>
      <c r="O127" s="13" t="str">
        <f t="shared" si="1"/>
        <v/>
      </c>
    </row>
    <row r="128" spans="2:15">
      <c r="B128" s="12"/>
      <c r="L128" s="13"/>
      <c r="M128" s="13"/>
      <c r="N128" s="13">
        <f>IFERROR(_xlfn.XLOOKUP(K128&amp;"|"&amp;M128,单位换算!$C$5:$C$30,单位换算!$D$5:$D$30),1)</f>
        <v>1</v>
      </c>
      <c r="O128" s="13" t="str">
        <f t="shared" si="1"/>
        <v/>
      </c>
    </row>
    <row r="129" spans="2:15">
      <c r="B129" s="12"/>
      <c r="L129" s="13"/>
      <c r="M129" s="13"/>
      <c r="N129" s="13">
        <f>IFERROR(_xlfn.XLOOKUP(K129&amp;"|"&amp;M129,单位换算!$C$5:$C$30,单位换算!$D$5:$D$30),1)</f>
        <v>1</v>
      </c>
      <c r="O129" s="13" t="str">
        <f t="shared" si="1"/>
        <v/>
      </c>
    </row>
    <row r="130" spans="2:15">
      <c r="B130" s="12"/>
      <c r="L130" s="13"/>
      <c r="M130" s="13"/>
      <c r="N130" s="13">
        <f>IFERROR(_xlfn.XLOOKUP(K130&amp;"|"&amp;M130,单位换算!$C$5:$C$30,单位换算!$D$5:$D$30),1)</f>
        <v>1</v>
      </c>
      <c r="O130" s="13" t="str">
        <f t="shared" si="1"/>
        <v/>
      </c>
    </row>
    <row r="131" spans="2:15">
      <c r="B131" s="12"/>
      <c r="L131" s="13"/>
      <c r="M131" s="13"/>
      <c r="N131" s="13">
        <f>IFERROR(_xlfn.XLOOKUP(K131&amp;"|"&amp;M131,单位换算!$C$5:$C$30,单位换算!$D$5:$D$30),1)</f>
        <v>1</v>
      </c>
      <c r="O131" s="13" t="str">
        <f t="shared" si="1"/>
        <v/>
      </c>
    </row>
    <row r="132" spans="2:15">
      <c r="B132" s="12"/>
      <c r="L132" s="13"/>
      <c r="M132" s="13"/>
      <c r="N132" s="13">
        <f>IFERROR(_xlfn.XLOOKUP(K132&amp;"|"&amp;M132,单位换算!$C$5:$C$30,单位换算!$D$5:$D$30),1)</f>
        <v>1</v>
      </c>
      <c r="O132" s="13" t="str">
        <f t="shared" si="1"/>
        <v/>
      </c>
    </row>
    <row r="133" spans="2:15">
      <c r="B133" s="12"/>
      <c r="L133" s="13"/>
      <c r="M133" s="13"/>
      <c r="N133" s="13">
        <f>IFERROR(_xlfn.XLOOKUP(K133&amp;"|"&amp;M133,单位换算!$C$5:$C$30,单位换算!$D$5:$D$30),1)</f>
        <v>1</v>
      </c>
      <c r="O133" s="13" t="str">
        <f t="shared" ref="O133:O196" si="2">IF(L133="","",L133*N133)</f>
        <v/>
      </c>
    </row>
    <row r="134" spans="2:15">
      <c r="B134" s="12"/>
      <c r="L134" s="13"/>
      <c r="M134" s="13"/>
      <c r="N134" s="13">
        <f>IFERROR(_xlfn.XLOOKUP(K134&amp;"|"&amp;M134,单位换算!$C$5:$C$30,单位换算!$D$5:$D$30),1)</f>
        <v>1</v>
      </c>
      <c r="O134" s="13" t="str">
        <f t="shared" si="2"/>
        <v/>
      </c>
    </row>
    <row r="135" spans="2:15">
      <c r="B135" s="12"/>
      <c r="L135" s="13"/>
      <c r="M135" s="13"/>
      <c r="N135" s="13">
        <f>IFERROR(_xlfn.XLOOKUP(K135&amp;"|"&amp;M135,单位换算!$C$5:$C$30,单位换算!$D$5:$D$30),1)</f>
        <v>1</v>
      </c>
      <c r="O135" s="13" t="str">
        <f t="shared" si="2"/>
        <v/>
      </c>
    </row>
    <row r="136" spans="2:15">
      <c r="B136" s="12"/>
      <c r="L136" s="13"/>
      <c r="M136" s="13"/>
      <c r="N136" s="13">
        <f>IFERROR(_xlfn.XLOOKUP(K136&amp;"|"&amp;M136,单位换算!$C$5:$C$30,单位换算!$D$5:$D$30),1)</f>
        <v>1</v>
      </c>
      <c r="O136" s="13" t="str">
        <f t="shared" si="2"/>
        <v/>
      </c>
    </row>
    <row r="137" spans="2:15">
      <c r="B137" s="12"/>
      <c r="L137" s="13"/>
      <c r="M137" s="13"/>
      <c r="N137" s="13">
        <f>IFERROR(_xlfn.XLOOKUP(K137&amp;"|"&amp;M137,单位换算!$C$5:$C$30,单位换算!$D$5:$D$30),1)</f>
        <v>1</v>
      </c>
      <c r="O137" s="13" t="str">
        <f t="shared" si="2"/>
        <v/>
      </c>
    </row>
    <row r="138" spans="2:15">
      <c r="B138" s="12"/>
      <c r="L138" s="13"/>
      <c r="M138" s="13"/>
      <c r="N138" s="13">
        <f>IFERROR(_xlfn.XLOOKUP(K138&amp;"|"&amp;M138,单位换算!$C$5:$C$30,单位换算!$D$5:$D$30),1)</f>
        <v>1</v>
      </c>
      <c r="O138" s="13" t="str">
        <f t="shared" si="2"/>
        <v/>
      </c>
    </row>
    <row r="139" spans="2:15">
      <c r="B139" s="12"/>
      <c r="L139" s="13"/>
      <c r="M139" s="13"/>
      <c r="N139" s="13">
        <f>IFERROR(_xlfn.XLOOKUP(K139&amp;"|"&amp;M139,单位换算!$C$5:$C$30,单位换算!$D$5:$D$30),1)</f>
        <v>1</v>
      </c>
      <c r="O139" s="13" t="str">
        <f t="shared" si="2"/>
        <v/>
      </c>
    </row>
    <row r="140" spans="2:15">
      <c r="B140" s="12"/>
      <c r="L140" s="13"/>
      <c r="M140" s="13"/>
      <c r="N140" s="13">
        <f>IFERROR(_xlfn.XLOOKUP(K140&amp;"|"&amp;M140,单位换算!$C$5:$C$30,单位换算!$D$5:$D$30),1)</f>
        <v>1</v>
      </c>
      <c r="O140" s="13" t="str">
        <f t="shared" si="2"/>
        <v/>
      </c>
    </row>
    <row r="141" spans="2:15">
      <c r="B141" s="12"/>
      <c r="L141" s="13"/>
      <c r="M141" s="13"/>
      <c r="N141" s="13">
        <f>IFERROR(_xlfn.XLOOKUP(K141&amp;"|"&amp;M141,单位换算!$C$5:$C$30,单位换算!$D$5:$D$30),1)</f>
        <v>1</v>
      </c>
      <c r="O141" s="13" t="str">
        <f t="shared" si="2"/>
        <v/>
      </c>
    </row>
    <row r="142" spans="2:15">
      <c r="B142" s="12"/>
      <c r="L142" s="13"/>
      <c r="M142" s="13"/>
      <c r="N142" s="13">
        <f>IFERROR(_xlfn.XLOOKUP(K142&amp;"|"&amp;M142,单位换算!$C$5:$C$30,单位换算!$D$5:$D$30),1)</f>
        <v>1</v>
      </c>
      <c r="O142" s="13" t="str">
        <f t="shared" si="2"/>
        <v/>
      </c>
    </row>
    <row r="143" spans="2:15">
      <c r="B143" s="12"/>
      <c r="L143" s="13"/>
      <c r="M143" s="13"/>
      <c r="N143" s="13">
        <f>IFERROR(_xlfn.XLOOKUP(K143&amp;"|"&amp;M143,单位换算!$C$5:$C$30,单位换算!$D$5:$D$30),1)</f>
        <v>1</v>
      </c>
      <c r="O143" s="13" t="str">
        <f t="shared" si="2"/>
        <v/>
      </c>
    </row>
    <row r="144" spans="2:15">
      <c r="B144" s="12"/>
      <c r="L144" s="13"/>
      <c r="M144" s="13"/>
      <c r="N144" s="13">
        <f>IFERROR(_xlfn.XLOOKUP(K144&amp;"|"&amp;M144,单位换算!$C$5:$C$30,单位换算!$D$5:$D$30),1)</f>
        <v>1</v>
      </c>
      <c r="O144" s="13" t="str">
        <f t="shared" si="2"/>
        <v/>
      </c>
    </row>
    <row r="145" spans="2:15">
      <c r="B145" s="12"/>
      <c r="L145" s="13"/>
      <c r="M145" s="13"/>
      <c r="N145" s="13">
        <f>IFERROR(_xlfn.XLOOKUP(K145&amp;"|"&amp;M145,单位换算!$C$5:$C$30,单位换算!$D$5:$D$30),1)</f>
        <v>1</v>
      </c>
      <c r="O145" s="13" t="str">
        <f t="shared" si="2"/>
        <v/>
      </c>
    </row>
    <row r="146" spans="2:15">
      <c r="B146" s="12"/>
      <c r="L146" s="13"/>
      <c r="M146" s="13"/>
      <c r="N146" s="13">
        <f>IFERROR(_xlfn.XLOOKUP(K146&amp;"|"&amp;M146,单位换算!$C$5:$C$30,单位换算!$D$5:$D$30),1)</f>
        <v>1</v>
      </c>
      <c r="O146" s="13" t="str">
        <f t="shared" si="2"/>
        <v/>
      </c>
    </row>
    <row r="147" spans="2:15">
      <c r="B147" s="12"/>
      <c r="L147" s="13"/>
      <c r="M147" s="13"/>
      <c r="N147" s="13">
        <f>IFERROR(_xlfn.XLOOKUP(K147&amp;"|"&amp;M147,单位换算!$C$5:$C$30,单位换算!$D$5:$D$30),1)</f>
        <v>1</v>
      </c>
      <c r="O147" s="13" t="str">
        <f t="shared" si="2"/>
        <v/>
      </c>
    </row>
    <row r="148" spans="2:15">
      <c r="B148" s="12"/>
      <c r="L148" s="13"/>
      <c r="M148" s="13"/>
      <c r="N148" s="13">
        <f>IFERROR(_xlfn.XLOOKUP(K148&amp;"|"&amp;M148,单位换算!$C$5:$C$30,单位换算!$D$5:$D$30),1)</f>
        <v>1</v>
      </c>
      <c r="O148" s="13" t="str">
        <f t="shared" si="2"/>
        <v/>
      </c>
    </row>
    <row r="149" spans="2:15">
      <c r="B149" s="12"/>
      <c r="L149" s="13"/>
      <c r="M149" s="13"/>
      <c r="N149" s="13">
        <f>IFERROR(_xlfn.XLOOKUP(K149&amp;"|"&amp;M149,单位换算!$C$5:$C$30,单位换算!$D$5:$D$30),1)</f>
        <v>1</v>
      </c>
      <c r="O149" s="13" t="str">
        <f t="shared" si="2"/>
        <v/>
      </c>
    </row>
    <row r="150" spans="2:15">
      <c r="B150" s="12"/>
      <c r="L150" s="13"/>
      <c r="M150" s="13"/>
      <c r="N150" s="13">
        <f>IFERROR(_xlfn.XLOOKUP(K150&amp;"|"&amp;M150,单位换算!$C$5:$C$30,单位换算!$D$5:$D$30),1)</f>
        <v>1</v>
      </c>
      <c r="O150" s="13" t="str">
        <f t="shared" si="2"/>
        <v/>
      </c>
    </row>
    <row r="151" spans="2:15">
      <c r="B151" s="12"/>
      <c r="L151" s="13"/>
      <c r="M151" s="13"/>
      <c r="N151" s="13">
        <f>IFERROR(_xlfn.XLOOKUP(K151&amp;"|"&amp;M151,单位换算!$C$5:$C$30,单位换算!$D$5:$D$30),1)</f>
        <v>1</v>
      </c>
      <c r="O151" s="13" t="str">
        <f t="shared" si="2"/>
        <v/>
      </c>
    </row>
    <row r="152" spans="2:15">
      <c r="B152" s="12"/>
      <c r="L152" s="13"/>
      <c r="M152" s="13"/>
      <c r="N152" s="13">
        <f>IFERROR(_xlfn.XLOOKUP(K152&amp;"|"&amp;M152,单位换算!$C$5:$C$30,单位换算!$D$5:$D$30),1)</f>
        <v>1</v>
      </c>
      <c r="O152" s="13" t="str">
        <f t="shared" si="2"/>
        <v/>
      </c>
    </row>
    <row r="153" spans="2:15">
      <c r="B153" s="12"/>
      <c r="L153" s="13"/>
      <c r="M153" s="13"/>
      <c r="N153" s="13">
        <f>IFERROR(_xlfn.XLOOKUP(K153&amp;"|"&amp;M153,单位换算!$C$5:$C$30,单位换算!$D$5:$D$30),1)</f>
        <v>1</v>
      </c>
      <c r="O153" s="13" t="str">
        <f t="shared" si="2"/>
        <v/>
      </c>
    </row>
    <row r="154" spans="2:15">
      <c r="B154" s="12"/>
      <c r="L154" s="13"/>
      <c r="M154" s="13"/>
      <c r="N154" s="13">
        <f>IFERROR(_xlfn.XLOOKUP(K154&amp;"|"&amp;M154,单位换算!$C$5:$C$30,单位换算!$D$5:$D$30),1)</f>
        <v>1</v>
      </c>
      <c r="O154" s="13" t="str">
        <f t="shared" si="2"/>
        <v/>
      </c>
    </row>
    <row r="155" spans="2:15">
      <c r="B155" s="12"/>
      <c r="L155" s="13"/>
      <c r="M155" s="13"/>
      <c r="N155" s="13">
        <f>IFERROR(_xlfn.XLOOKUP(K155&amp;"|"&amp;M155,单位换算!$C$5:$C$30,单位换算!$D$5:$D$30),1)</f>
        <v>1</v>
      </c>
      <c r="O155" s="13" t="str">
        <f t="shared" si="2"/>
        <v/>
      </c>
    </row>
    <row r="156" spans="2:15">
      <c r="B156" s="12"/>
      <c r="L156" s="13"/>
      <c r="M156" s="13"/>
      <c r="N156" s="13">
        <f>IFERROR(_xlfn.XLOOKUP(K156&amp;"|"&amp;M156,单位换算!$C$5:$C$30,单位换算!$D$5:$D$30),1)</f>
        <v>1</v>
      </c>
      <c r="O156" s="13" t="str">
        <f t="shared" si="2"/>
        <v/>
      </c>
    </row>
    <row r="157" spans="2:15">
      <c r="B157" s="12"/>
      <c r="L157" s="13"/>
      <c r="M157" s="13"/>
      <c r="N157" s="13">
        <f>IFERROR(_xlfn.XLOOKUP(K157&amp;"|"&amp;M157,单位换算!$C$5:$C$30,单位换算!$D$5:$D$30),1)</f>
        <v>1</v>
      </c>
      <c r="O157" s="13" t="str">
        <f t="shared" si="2"/>
        <v/>
      </c>
    </row>
    <row r="158" spans="2:15">
      <c r="B158" s="12"/>
      <c r="L158" s="13"/>
      <c r="M158" s="13"/>
      <c r="N158" s="13">
        <f>IFERROR(_xlfn.XLOOKUP(K158&amp;"|"&amp;M158,单位换算!$C$5:$C$30,单位换算!$D$5:$D$30),1)</f>
        <v>1</v>
      </c>
      <c r="O158" s="13" t="str">
        <f t="shared" si="2"/>
        <v/>
      </c>
    </row>
    <row r="159" spans="2:15">
      <c r="B159" s="12"/>
      <c r="L159" s="13"/>
      <c r="M159" s="13"/>
      <c r="N159" s="13">
        <f>IFERROR(_xlfn.XLOOKUP(K159&amp;"|"&amp;M159,单位换算!$C$5:$C$30,单位换算!$D$5:$D$30),1)</f>
        <v>1</v>
      </c>
      <c r="O159" s="13" t="str">
        <f t="shared" si="2"/>
        <v/>
      </c>
    </row>
    <row r="160" spans="2:15">
      <c r="B160" s="12"/>
      <c r="L160" s="13"/>
      <c r="M160" s="13"/>
      <c r="N160" s="13">
        <f>IFERROR(_xlfn.XLOOKUP(K160&amp;"|"&amp;M160,单位换算!$C$5:$C$30,单位换算!$D$5:$D$30),1)</f>
        <v>1</v>
      </c>
      <c r="O160" s="13" t="str">
        <f t="shared" si="2"/>
        <v/>
      </c>
    </row>
    <row r="161" spans="2:15">
      <c r="B161" s="12"/>
      <c r="L161" s="13"/>
      <c r="M161" s="13"/>
      <c r="N161" s="13">
        <f>IFERROR(_xlfn.XLOOKUP(K161&amp;"|"&amp;M161,单位换算!$C$5:$C$30,单位换算!$D$5:$D$30),1)</f>
        <v>1</v>
      </c>
      <c r="O161" s="13" t="str">
        <f t="shared" si="2"/>
        <v/>
      </c>
    </row>
    <row r="162" spans="2:15">
      <c r="B162" s="12"/>
      <c r="L162" s="13"/>
      <c r="M162" s="13"/>
      <c r="N162" s="13">
        <f>IFERROR(_xlfn.XLOOKUP(K162&amp;"|"&amp;M162,单位换算!$C$5:$C$30,单位换算!$D$5:$D$30),1)</f>
        <v>1</v>
      </c>
      <c r="O162" s="13" t="str">
        <f t="shared" si="2"/>
        <v/>
      </c>
    </row>
    <row r="163" spans="2:15">
      <c r="B163" s="12"/>
      <c r="L163" s="13"/>
      <c r="M163" s="13"/>
      <c r="N163" s="13">
        <f>IFERROR(_xlfn.XLOOKUP(K163&amp;"|"&amp;M163,单位换算!$C$5:$C$30,单位换算!$D$5:$D$30),1)</f>
        <v>1</v>
      </c>
      <c r="O163" s="13" t="str">
        <f t="shared" si="2"/>
        <v/>
      </c>
    </row>
    <row r="164" spans="2:15">
      <c r="B164" s="12"/>
      <c r="L164" s="13"/>
      <c r="M164" s="13"/>
      <c r="N164" s="13">
        <f>IFERROR(_xlfn.XLOOKUP(K164&amp;"|"&amp;M164,单位换算!$C$5:$C$30,单位换算!$D$5:$D$30),1)</f>
        <v>1</v>
      </c>
      <c r="O164" s="13" t="str">
        <f t="shared" si="2"/>
        <v/>
      </c>
    </row>
    <row r="165" spans="2:15">
      <c r="B165" s="12"/>
      <c r="L165" s="13"/>
      <c r="M165" s="13"/>
      <c r="N165" s="13">
        <f>IFERROR(_xlfn.XLOOKUP(K165&amp;"|"&amp;M165,单位换算!$C$5:$C$30,单位换算!$D$5:$D$30),1)</f>
        <v>1</v>
      </c>
      <c r="O165" s="13" t="str">
        <f t="shared" si="2"/>
        <v/>
      </c>
    </row>
    <row r="166" spans="2:15">
      <c r="B166" s="12"/>
      <c r="L166" s="13"/>
      <c r="M166" s="13"/>
      <c r="N166" s="13">
        <f>IFERROR(_xlfn.XLOOKUP(K166&amp;"|"&amp;M166,单位换算!$C$5:$C$30,单位换算!$D$5:$D$30),1)</f>
        <v>1</v>
      </c>
      <c r="O166" s="13" t="str">
        <f t="shared" si="2"/>
        <v/>
      </c>
    </row>
    <row r="167" spans="2:15">
      <c r="B167" s="12"/>
      <c r="L167" s="13"/>
      <c r="M167" s="13"/>
      <c r="N167" s="13">
        <f>IFERROR(_xlfn.XLOOKUP(K167&amp;"|"&amp;M167,单位换算!$C$5:$C$30,单位换算!$D$5:$D$30),1)</f>
        <v>1</v>
      </c>
      <c r="O167" s="13" t="str">
        <f t="shared" si="2"/>
        <v/>
      </c>
    </row>
    <row r="168" spans="2:15">
      <c r="B168" s="12"/>
      <c r="L168" s="13"/>
      <c r="M168" s="13"/>
      <c r="N168" s="13">
        <f>IFERROR(_xlfn.XLOOKUP(K168&amp;"|"&amp;M168,单位换算!$C$5:$C$30,单位换算!$D$5:$D$30),1)</f>
        <v>1</v>
      </c>
      <c r="O168" s="13" t="str">
        <f t="shared" si="2"/>
        <v/>
      </c>
    </row>
    <row r="169" spans="2:15">
      <c r="B169" s="12"/>
      <c r="L169" s="13"/>
      <c r="M169" s="13"/>
      <c r="N169" s="13">
        <f>IFERROR(_xlfn.XLOOKUP(K169&amp;"|"&amp;M169,单位换算!$C$5:$C$30,单位换算!$D$5:$D$30),1)</f>
        <v>1</v>
      </c>
      <c r="O169" s="13" t="str">
        <f t="shared" si="2"/>
        <v/>
      </c>
    </row>
    <row r="170" spans="2:15">
      <c r="B170" s="12"/>
      <c r="L170" s="13"/>
      <c r="M170" s="13"/>
      <c r="N170" s="13">
        <f>IFERROR(_xlfn.XLOOKUP(K170&amp;"|"&amp;M170,单位换算!$C$5:$C$30,单位换算!$D$5:$D$30),1)</f>
        <v>1</v>
      </c>
      <c r="O170" s="13" t="str">
        <f t="shared" si="2"/>
        <v/>
      </c>
    </row>
    <row r="171" spans="2:15">
      <c r="B171" s="12"/>
      <c r="L171" s="13"/>
      <c r="M171" s="13"/>
      <c r="N171" s="13">
        <f>IFERROR(_xlfn.XLOOKUP(K171&amp;"|"&amp;M171,单位换算!$C$5:$C$30,单位换算!$D$5:$D$30),1)</f>
        <v>1</v>
      </c>
      <c r="O171" s="13" t="str">
        <f t="shared" si="2"/>
        <v/>
      </c>
    </row>
    <row r="172" spans="2:15">
      <c r="B172" s="12"/>
      <c r="L172" s="13"/>
      <c r="M172" s="13"/>
      <c r="N172" s="13">
        <f>IFERROR(_xlfn.XLOOKUP(K172&amp;"|"&amp;M172,单位换算!$C$5:$C$30,单位换算!$D$5:$D$30),1)</f>
        <v>1</v>
      </c>
      <c r="O172" s="13" t="str">
        <f t="shared" si="2"/>
        <v/>
      </c>
    </row>
    <row r="173" spans="2:15">
      <c r="B173" s="12"/>
      <c r="L173" s="13"/>
      <c r="M173" s="13"/>
      <c r="N173" s="13">
        <f>IFERROR(_xlfn.XLOOKUP(K173&amp;"|"&amp;M173,单位换算!$C$5:$C$30,单位换算!$D$5:$D$30),1)</f>
        <v>1</v>
      </c>
      <c r="O173" s="13" t="str">
        <f t="shared" si="2"/>
        <v/>
      </c>
    </row>
    <row r="174" spans="2:15">
      <c r="B174" s="12"/>
      <c r="L174" s="13"/>
      <c r="M174" s="13"/>
      <c r="N174" s="13">
        <f>IFERROR(_xlfn.XLOOKUP(K174&amp;"|"&amp;M174,单位换算!$C$5:$C$30,单位换算!$D$5:$D$30),1)</f>
        <v>1</v>
      </c>
      <c r="O174" s="13" t="str">
        <f t="shared" si="2"/>
        <v/>
      </c>
    </row>
    <row r="175" spans="2:15">
      <c r="B175" s="12"/>
      <c r="L175" s="13"/>
      <c r="M175" s="13"/>
      <c r="N175" s="13">
        <f>IFERROR(_xlfn.XLOOKUP(K175&amp;"|"&amp;M175,单位换算!$C$5:$C$30,单位换算!$D$5:$D$30),1)</f>
        <v>1</v>
      </c>
      <c r="O175" s="13" t="str">
        <f t="shared" si="2"/>
        <v/>
      </c>
    </row>
    <row r="176" spans="2:15">
      <c r="B176" s="12"/>
      <c r="L176" s="13"/>
      <c r="M176" s="13"/>
      <c r="N176" s="13">
        <f>IFERROR(_xlfn.XLOOKUP(K176&amp;"|"&amp;M176,单位换算!$C$5:$C$30,单位换算!$D$5:$D$30),1)</f>
        <v>1</v>
      </c>
      <c r="O176" s="13" t="str">
        <f t="shared" si="2"/>
        <v/>
      </c>
    </row>
    <row r="177" spans="2:15">
      <c r="B177" s="12"/>
      <c r="L177" s="13"/>
      <c r="M177" s="13"/>
      <c r="N177" s="13">
        <f>IFERROR(_xlfn.XLOOKUP(K177&amp;"|"&amp;M177,单位换算!$C$5:$C$30,单位换算!$D$5:$D$30),1)</f>
        <v>1</v>
      </c>
      <c r="O177" s="13" t="str">
        <f t="shared" si="2"/>
        <v/>
      </c>
    </row>
    <row r="178" spans="2:15">
      <c r="B178" s="12"/>
      <c r="L178" s="13"/>
      <c r="M178" s="13"/>
      <c r="N178" s="13">
        <f>IFERROR(_xlfn.XLOOKUP(K178&amp;"|"&amp;M178,单位换算!$C$5:$C$30,单位换算!$D$5:$D$30),1)</f>
        <v>1</v>
      </c>
      <c r="O178" s="13" t="str">
        <f t="shared" si="2"/>
        <v/>
      </c>
    </row>
    <row r="179" spans="2:15">
      <c r="B179" s="12"/>
      <c r="L179" s="13"/>
      <c r="M179" s="13"/>
      <c r="N179" s="13">
        <f>IFERROR(_xlfn.XLOOKUP(K179&amp;"|"&amp;M179,单位换算!$C$5:$C$30,单位换算!$D$5:$D$30),1)</f>
        <v>1</v>
      </c>
      <c r="O179" s="13" t="str">
        <f t="shared" si="2"/>
        <v/>
      </c>
    </row>
    <row r="180" spans="2:15">
      <c r="B180" s="12"/>
      <c r="L180" s="13"/>
      <c r="M180" s="13"/>
      <c r="N180" s="13">
        <f>IFERROR(_xlfn.XLOOKUP(K180&amp;"|"&amp;M180,单位换算!$C$5:$C$30,单位换算!$D$5:$D$30),1)</f>
        <v>1</v>
      </c>
      <c r="O180" s="13" t="str">
        <f t="shared" si="2"/>
        <v/>
      </c>
    </row>
    <row r="181" spans="2:15">
      <c r="B181" s="12"/>
      <c r="L181" s="13"/>
      <c r="M181" s="13"/>
      <c r="N181" s="13">
        <f>IFERROR(_xlfn.XLOOKUP(K181&amp;"|"&amp;M181,单位换算!$C$5:$C$30,单位换算!$D$5:$D$30),1)</f>
        <v>1</v>
      </c>
      <c r="O181" s="13" t="str">
        <f t="shared" si="2"/>
        <v/>
      </c>
    </row>
    <row r="182" spans="2:15">
      <c r="B182" s="12"/>
      <c r="L182" s="13"/>
      <c r="M182" s="13"/>
      <c r="N182" s="13">
        <f>IFERROR(_xlfn.XLOOKUP(K182&amp;"|"&amp;M182,单位换算!$C$5:$C$30,单位换算!$D$5:$D$30),1)</f>
        <v>1</v>
      </c>
      <c r="O182" s="13" t="str">
        <f t="shared" si="2"/>
        <v/>
      </c>
    </row>
    <row r="183" spans="2:15">
      <c r="B183" s="12"/>
      <c r="L183" s="13"/>
      <c r="M183" s="13"/>
      <c r="N183" s="13">
        <f>IFERROR(_xlfn.XLOOKUP(K183&amp;"|"&amp;M183,单位换算!$C$5:$C$30,单位换算!$D$5:$D$30),1)</f>
        <v>1</v>
      </c>
      <c r="O183" s="13" t="str">
        <f t="shared" si="2"/>
        <v/>
      </c>
    </row>
    <row r="184" spans="2:15">
      <c r="B184" s="12"/>
      <c r="L184" s="13"/>
      <c r="M184" s="13"/>
      <c r="N184" s="13">
        <f>IFERROR(_xlfn.XLOOKUP(K184&amp;"|"&amp;M184,单位换算!$C$5:$C$30,单位换算!$D$5:$D$30),1)</f>
        <v>1</v>
      </c>
      <c r="O184" s="13" t="str">
        <f t="shared" si="2"/>
        <v/>
      </c>
    </row>
    <row r="185" spans="2:15">
      <c r="B185" s="12"/>
      <c r="L185" s="13"/>
      <c r="M185" s="13"/>
      <c r="N185" s="13">
        <f>IFERROR(_xlfn.XLOOKUP(K185&amp;"|"&amp;M185,单位换算!$C$5:$C$30,单位换算!$D$5:$D$30),1)</f>
        <v>1</v>
      </c>
      <c r="O185" s="13" t="str">
        <f t="shared" si="2"/>
        <v/>
      </c>
    </row>
    <row r="186" spans="2:15">
      <c r="B186" s="12"/>
      <c r="L186" s="13"/>
      <c r="M186" s="13"/>
      <c r="N186" s="13">
        <f>IFERROR(_xlfn.XLOOKUP(K186&amp;"|"&amp;M186,单位换算!$C$5:$C$30,单位换算!$D$5:$D$30),1)</f>
        <v>1</v>
      </c>
      <c r="O186" s="13" t="str">
        <f t="shared" si="2"/>
        <v/>
      </c>
    </row>
    <row r="187" spans="2:15">
      <c r="B187" s="12"/>
      <c r="L187" s="13"/>
      <c r="M187" s="13"/>
      <c r="N187" s="13">
        <f>IFERROR(_xlfn.XLOOKUP(K187&amp;"|"&amp;M187,单位换算!$C$5:$C$30,单位换算!$D$5:$D$30),1)</f>
        <v>1</v>
      </c>
      <c r="O187" s="13" t="str">
        <f t="shared" si="2"/>
        <v/>
      </c>
    </row>
    <row r="188" spans="2:15">
      <c r="B188" s="12"/>
      <c r="L188" s="13"/>
      <c r="M188" s="13"/>
      <c r="N188" s="13">
        <f>IFERROR(_xlfn.XLOOKUP(K188&amp;"|"&amp;M188,单位换算!$C$5:$C$30,单位换算!$D$5:$D$30),1)</f>
        <v>1</v>
      </c>
      <c r="O188" s="13" t="str">
        <f t="shared" si="2"/>
        <v/>
      </c>
    </row>
    <row r="189" spans="2:15">
      <c r="B189" s="12"/>
      <c r="L189" s="13"/>
      <c r="M189" s="13"/>
      <c r="N189" s="13">
        <f>IFERROR(_xlfn.XLOOKUP(K189&amp;"|"&amp;M189,单位换算!$C$5:$C$30,单位换算!$D$5:$D$30),1)</f>
        <v>1</v>
      </c>
      <c r="O189" s="13" t="str">
        <f t="shared" si="2"/>
        <v/>
      </c>
    </row>
    <row r="190" spans="2:15">
      <c r="B190" s="12"/>
      <c r="L190" s="13"/>
      <c r="M190" s="13"/>
      <c r="N190" s="13">
        <f>IFERROR(_xlfn.XLOOKUP(K190&amp;"|"&amp;M190,单位换算!$C$5:$C$30,单位换算!$D$5:$D$30),1)</f>
        <v>1</v>
      </c>
      <c r="O190" s="13" t="str">
        <f t="shared" si="2"/>
        <v/>
      </c>
    </row>
    <row r="191" spans="2:15">
      <c r="B191" s="12"/>
      <c r="L191" s="13"/>
      <c r="M191" s="13"/>
      <c r="N191" s="13">
        <f>IFERROR(_xlfn.XLOOKUP(K191&amp;"|"&amp;M191,单位换算!$C$5:$C$30,单位换算!$D$5:$D$30),1)</f>
        <v>1</v>
      </c>
      <c r="O191" s="13" t="str">
        <f t="shared" si="2"/>
        <v/>
      </c>
    </row>
    <row r="192" spans="2:15">
      <c r="B192" s="12"/>
      <c r="L192" s="13"/>
      <c r="M192" s="13"/>
      <c r="N192" s="13">
        <f>IFERROR(_xlfn.XLOOKUP(K192&amp;"|"&amp;M192,单位换算!$C$5:$C$30,单位换算!$D$5:$D$30),1)</f>
        <v>1</v>
      </c>
      <c r="O192" s="13" t="str">
        <f t="shared" si="2"/>
        <v/>
      </c>
    </row>
    <row r="193" spans="2:15">
      <c r="B193" s="12"/>
      <c r="L193" s="13"/>
      <c r="M193" s="13"/>
      <c r="N193" s="13">
        <f>IFERROR(_xlfn.XLOOKUP(K193&amp;"|"&amp;M193,单位换算!$C$5:$C$30,单位换算!$D$5:$D$30),1)</f>
        <v>1</v>
      </c>
      <c r="O193" s="13" t="str">
        <f t="shared" si="2"/>
        <v/>
      </c>
    </row>
    <row r="194" spans="2:15">
      <c r="B194" s="12"/>
      <c r="L194" s="13"/>
      <c r="M194" s="13"/>
      <c r="N194" s="13">
        <f>IFERROR(_xlfn.XLOOKUP(K194&amp;"|"&amp;M194,单位换算!$C$5:$C$30,单位换算!$D$5:$D$30),1)</f>
        <v>1</v>
      </c>
      <c r="O194" s="13" t="str">
        <f t="shared" si="2"/>
        <v/>
      </c>
    </row>
    <row r="195" spans="2:15">
      <c r="B195" s="12"/>
      <c r="L195" s="13"/>
      <c r="M195" s="13"/>
      <c r="N195" s="13">
        <f>IFERROR(_xlfn.XLOOKUP(K195&amp;"|"&amp;M195,单位换算!$C$5:$C$30,单位换算!$D$5:$D$30),1)</f>
        <v>1</v>
      </c>
      <c r="O195" s="13" t="str">
        <f t="shared" si="2"/>
        <v/>
      </c>
    </row>
    <row r="196" spans="2:15">
      <c r="B196" s="12"/>
      <c r="L196" s="13"/>
      <c r="M196" s="13"/>
      <c r="N196" s="13">
        <f>IFERROR(_xlfn.XLOOKUP(K196&amp;"|"&amp;M196,单位换算!$C$5:$C$30,单位换算!$D$5:$D$30),1)</f>
        <v>1</v>
      </c>
      <c r="O196" s="13" t="str">
        <f t="shared" si="2"/>
        <v/>
      </c>
    </row>
    <row r="197" spans="2:15">
      <c r="B197" s="12"/>
      <c r="L197" s="13"/>
      <c r="M197" s="13"/>
      <c r="N197" s="13">
        <f>IFERROR(_xlfn.XLOOKUP(K197&amp;"|"&amp;M197,单位换算!$C$5:$C$30,单位换算!$D$5:$D$30),1)</f>
        <v>1</v>
      </c>
      <c r="O197" s="13" t="str">
        <f t="shared" ref="O197:O204" si="3">IF(L197="","",L197*N197)</f>
        <v/>
      </c>
    </row>
    <row r="198" spans="2:15">
      <c r="B198" s="12"/>
      <c r="L198" s="13"/>
      <c r="M198" s="13"/>
      <c r="N198" s="13">
        <f>IFERROR(_xlfn.XLOOKUP(K198&amp;"|"&amp;M198,单位换算!$C$5:$C$30,单位换算!$D$5:$D$30),1)</f>
        <v>1</v>
      </c>
      <c r="O198" s="13" t="str">
        <f t="shared" si="3"/>
        <v/>
      </c>
    </row>
    <row r="199" spans="2:15">
      <c r="B199" s="12"/>
      <c r="L199" s="13"/>
      <c r="M199" s="13"/>
      <c r="N199" s="13">
        <f>IFERROR(_xlfn.XLOOKUP(K199&amp;"|"&amp;M199,单位换算!$C$5:$C$30,单位换算!$D$5:$D$30),1)</f>
        <v>1</v>
      </c>
      <c r="O199" s="13" t="str">
        <f t="shared" si="3"/>
        <v/>
      </c>
    </row>
    <row r="200" spans="2:15">
      <c r="B200" s="12"/>
      <c r="L200" s="13"/>
      <c r="M200" s="13"/>
      <c r="N200" s="13">
        <f>IFERROR(_xlfn.XLOOKUP(K200&amp;"|"&amp;M200,单位换算!$C$5:$C$30,单位换算!$D$5:$D$30),1)</f>
        <v>1</v>
      </c>
      <c r="O200" s="13" t="str">
        <f t="shared" si="3"/>
        <v/>
      </c>
    </row>
    <row r="201" spans="2:15">
      <c r="B201" s="12"/>
      <c r="L201" s="13"/>
      <c r="M201" s="13"/>
      <c r="N201" s="13">
        <f>IFERROR(_xlfn.XLOOKUP(K201&amp;"|"&amp;M201,单位换算!$C$5:$C$30,单位换算!$D$5:$D$30),1)</f>
        <v>1</v>
      </c>
      <c r="O201" s="13" t="str">
        <f t="shared" si="3"/>
        <v/>
      </c>
    </row>
    <row r="202" spans="2:15">
      <c r="B202" s="12"/>
      <c r="L202" s="13"/>
      <c r="M202" s="13"/>
      <c r="N202" s="13">
        <f>IFERROR(_xlfn.XLOOKUP(K202&amp;"|"&amp;M202,单位换算!$C$5:$C$30,单位换算!$D$5:$D$30),1)</f>
        <v>1</v>
      </c>
      <c r="O202" s="13" t="str">
        <f t="shared" si="3"/>
        <v/>
      </c>
    </row>
    <row r="203" spans="2:15">
      <c r="B203" s="12"/>
      <c r="L203" s="13"/>
      <c r="M203" s="13"/>
      <c r="N203" s="13">
        <f>IFERROR(_xlfn.XLOOKUP(K203&amp;"|"&amp;M203,单位换算!$C$5:$C$30,单位换算!$D$5:$D$30),1)</f>
        <v>1</v>
      </c>
      <c r="O203" s="13" t="str">
        <f t="shared" si="3"/>
        <v/>
      </c>
    </row>
    <row r="204" spans="2:15">
      <c r="B204" s="12"/>
      <c r="L204" s="13"/>
      <c r="M204" s="13"/>
      <c r="N204" s="13">
        <f>IFERROR(_xlfn.XLOOKUP(K204&amp;"|"&amp;M204,单位换算!$C$5:$C$30,单位换算!$D$5:$D$30),1)</f>
        <v>1</v>
      </c>
      <c r="O204" s="13" t="str">
        <f t="shared" si="3"/>
        <v/>
      </c>
    </row>
  </sheetData>
  <mergeCells count="2">
    <mergeCell ref="A1:R1"/>
    <mergeCell ref="A3:R3"/>
  </mergeCells>
  <dataValidations count="1">
    <dataValidation type="list" sqref="C5:C204">
      <formula1>"横机领料,裁剪领料,缝制辅料,后道领料,样衣领料"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4"/>
  <sheetViews>
    <sheetView showGridLines="0" workbookViewId="0">
      <selection activeCell="A1" sqref="A1:O1"/>
    </sheetView>
  </sheetViews>
  <sheetFormatPr defaultColWidth="9" defaultRowHeight="13.8"/>
  <cols>
    <col min="1" max="1" width="11.25" customWidth="1"/>
    <col min="2" max="2" width="27.5" customWidth="1"/>
    <col min="3" max="3" width="10" customWidth="1"/>
    <col min="4" max="5" width="11.25" customWidth="1"/>
    <col min="6" max="10" width="12.5" customWidth="1"/>
    <col min="11" max="11" width="15" customWidth="1"/>
    <col min="12" max="12" width="12.5" customWidth="1"/>
    <col min="13" max="13" width="13.75" customWidth="1"/>
    <col min="14" max="15" width="15" customWidth="1"/>
  </cols>
  <sheetData>
    <row r="1" ht="25.5" customHeight="1" spans="1:15">
      <c r="A1" s="1" t="s">
        <v>1070</v>
      </c>
      <c r="B1" s="1" t="s">
        <v>1070</v>
      </c>
      <c r="C1" s="1" t="s">
        <v>1070</v>
      </c>
      <c r="D1" s="1" t="s">
        <v>1070</v>
      </c>
      <c r="E1" s="1" t="s">
        <v>1070</v>
      </c>
      <c r="F1" s="1" t="s">
        <v>1070</v>
      </c>
      <c r="G1" s="1" t="s">
        <v>1070</v>
      </c>
      <c r="H1" s="1" t="s">
        <v>1070</v>
      </c>
      <c r="I1" s="1" t="s">
        <v>1070</v>
      </c>
      <c r="J1" s="1" t="s">
        <v>1070</v>
      </c>
      <c r="K1" s="1" t="s">
        <v>1070</v>
      </c>
      <c r="L1" s="1" t="s">
        <v>1070</v>
      </c>
      <c r="M1" s="1" t="s">
        <v>1070</v>
      </c>
      <c r="N1" s="1" t="s">
        <v>1070</v>
      </c>
      <c r="O1" s="1" t="s">
        <v>1070</v>
      </c>
    </row>
    <row r="3" spans="1:15">
      <c r="A3" s="4" t="s">
        <v>1071</v>
      </c>
      <c r="B3" s="4" t="s">
        <v>1071</v>
      </c>
      <c r="C3" s="4" t="s">
        <v>1071</v>
      </c>
      <c r="D3" s="4" t="s">
        <v>1071</v>
      </c>
      <c r="E3" s="4" t="s">
        <v>1071</v>
      </c>
      <c r="F3" s="4" t="s">
        <v>1071</v>
      </c>
      <c r="G3" s="4" t="s">
        <v>1071</v>
      </c>
      <c r="H3" s="4" t="s">
        <v>1071</v>
      </c>
      <c r="I3" s="4" t="s">
        <v>1071</v>
      </c>
      <c r="J3" s="4" t="s">
        <v>1071</v>
      </c>
      <c r="K3" s="4" t="s">
        <v>1071</v>
      </c>
      <c r="L3" s="4" t="s">
        <v>1071</v>
      </c>
      <c r="M3" s="4" t="s">
        <v>1071</v>
      </c>
      <c r="N3" s="4" t="s">
        <v>1071</v>
      </c>
      <c r="O3" s="4" t="s">
        <v>1071</v>
      </c>
    </row>
    <row r="4" ht="22.5" customHeight="1" spans="1:15">
      <c r="A4" s="5" t="s">
        <v>14</v>
      </c>
      <c r="B4" s="5" t="s">
        <v>15</v>
      </c>
      <c r="C4" s="5" t="s">
        <v>8</v>
      </c>
      <c r="D4" s="5" t="s">
        <v>430</v>
      </c>
      <c r="E4" s="5" t="s">
        <v>431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1072</v>
      </c>
      <c r="K4" s="5" t="s">
        <v>18</v>
      </c>
      <c r="L4" s="5" t="s">
        <v>1073</v>
      </c>
      <c r="M4" s="5" t="s">
        <v>432</v>
      </c>
      <c r="N4" s="5" t="s">
        <v>1008</v>
      </c>
      <c r="O4" s="5" t="s">
        <v>429</v>
      </c>
    </row>
    <row r="5" ht="14.4" spans="1:15">
      <c r="A5" s="6" t="s">
        <v>436</v>
      </c>
      <c r="B5" s="6" t="s">
        <v>54</v>
      </c>
      <c r="C5" s="6" t="s">
        <v>21</v>
      </c>
      <c r="D5" s="6" t="s">
        <v>437</v>
      </c>
      <c r="E5" s="9">
        <v>80</v>
      </c>
      <c r="F5" s="9">
        <f>SUMIFS(BOM用料!$N$5:$N$244,BOM用料!$E$5:$E$244,A5)</f>
        <v>0</v>
      </c>
      <c r="G5" s="9">
        <f>SUMIFS(入库明细!$O$5:$O$204,入库明细!$G$5:$G$204,A5,入库明细!$Q$5:$Q$204,"&lt;&gt;不合格",入库明细!$Q$5:$Q$204,"&lt;&gt;退货")</f>
        <v>0</v>
      </c>
      <c r="H5" s="9">
        <f>SUMIFS(出库明细!$O$5:$O$204,出库明细!$G$5:$G$204,A5)</f>
        <v>0</v>
      </c>
      <c r="I5" s="9">
        <f t="shared" ref="I5:I68" si="0">G5-H5</f>
        <v>0</v>
      </c>
      <c r="J5" s="9">
        <f t="shared" ref="J5:J68" si="1">I5-F5</f>
        <v>0</v>
      </c>
      <c r="K5" s="6" t="str">
        <f t="shared" ref="K5:K68" si="2">IF(I5&lt;0,"负库存",IF(I5&lt;E5,"低于安全库存",IF(J5&lt;0,"订单缺料","正常")))</f>
        <v>低于安全库存</v>
      </c>
      <c r="L5" s="10">
        <f t="shared" ref="L5:L68" si="3">IF(K5="正常",0,MAX(E5+F5-I5,0))</f>
        <v>80</v>
      </c>
      <c r="M5" s="10">
        <v>15</v>
      </c>
      <c r="N5" s="6" t="s">
        <v>438</v>
      </c>
      <c r="O5" s="6" t="s">
        <v>49</v>
      </c>
    </row>
    <row r="6" ht="14.4" spans="1:15">
      <c r="A6" s="6" t="s">
        <v>440</v>
      </c>
      <c r="B6" s="6" t="s">
        <v>64</v>
      </c>
      <c r="C6" s="6" t="s">
        <v>20</v>
      </c>
      <c r="D6" s="6" t="s">
        <v>441</v>
      </c>
      <c r="E6" s="9">
        <v>30</v>
      </c>
      <c r="F6" s="9">
        <f>SUMIFS(BOM用料!$N$5:$N$244,BOM用料!$E$5:$E$244,A6)</f>
        <v>917.73</v>
      </c>
      <c r="G6" s="9">
        <f>SUMIFS(入库明细!$O$5:$O$204,入库明细!$G$5:$G$204,A6,入库明细!$Q$5:$Q$204,"&lt;&gt;不合格",入库明细!$Q$5:$Q$204,"&lt;&gt;退货")</f>
        <v>980.1</v>
      </c>
      <c r="H6" s="9">
        <f>SUMIFS(出库明细!$O$5:$O$204,出库明细!$G$5:$G$204,A6)</f>
        <v>400.95</v>
      </c>
      <c r="I6" s="9">
        <f t="shared" si="0"/>
        <v>579.15</v>
      </c>
      <c r="J6" s="9">
        <f t="shared" si="1"/>
        <v>-338.58</v>
      </c>
      <c r="K6" s="6" t="str">
        <f t="shared" si="2"/>
        <v>订单缺料</v>
      </c>
      <c r="L6" s="10">
        <f t="shared" si="3"/>
        <v>368.58</v>
      </c>
      <c r="M6" s="10">
        <v>20</v>
      </c>
      <c r="N6" s="6" t="s">
        <v>442</v>
      </c>
      <c r="O6" s="6" t="s">
        <v>49</v>
      </c>
    </row>
    <row r="7" ht="14.4" spans="1:15">
      <c r="A7" s="6" t="s">
        <v>443</v>
      </c>
      <c r="B7" s="6" t="s">
        <v>444</v>
      </c>
      <c r="C7" s="6" t="s">
        <v>21</v>
      </c>
      <c r="D7" s="6" t="s">
        <v>437</v>
      </c>
      <c r="E7" s="9">
        <v>80</v>
      </c>
      <c r="F7" s="9">
        <f>SUMIFS(BOM用料!$N$5:$N$244,BOM用料!$E$5:$E$244,A7)</f>
        <v>2268</v>
      </c>
      <c r="G7" s="9">
        <f>SUMIFS(入库明细!$O$5:$O$204,入库明细!$G$5:$G$204,A7,入库明细!$Q$5:$Q$204,"&lt;&gt;不合格",入库明细!$Q$5:$Q$204,"&lt;&gt;退货")</f>
        <v>2376</v>
      </c>
      <c r="H7" s="9">
        <f>SUMIFS(出库明细!$O$5:$O$204,出库明细!$G$5:$G$204,A7)</f>
        <v>972</v>
      </c>
      <c r="I7" s="9">
        <f t="shared" si="0"/>
        <v>1404</v>
      </c>
      <c r="J7" s="9">
        <f t="shared" si="1"/>
        <v>-864</v>
      </c>
      <c r="K7" s="6" t="str">
        <f t="shared" si="2"/>
        <v>订单缺料</v>
      </c>
      <c r="L7" s="10">
        <f t="shared" si="3"/>
        <v>944</v>
      </c>
      <c r="M7" s="10">
        <v>15</v>
      </c>
      <c r="N7" s="6" t="s">
        <v>438</v>
      </c>
      <c r="O7" s="6" t="s">
        <v>75</v>
      </c>
    </row>
    <row r="8" ht="14.4" spans="1:15">
      <c r="A8" s="6" t="s">
        <v>445</v>
      </c>
      <c r="B8" s="6" t="s">
        <v>446</v>
      </c>
      <c r="C8" s="6" t="s">
        <v>21</v>
      </c>
      <c r="D8" s="6" t="s">
        <v>437</v>
      </c>
      <c r="E8" s="9">
        <v>80</v>
      </c>
      <c r="F8" s="9">
        <f>SUMIFS(BOM用料!$N$5:$N$244,BOM用料!$E$5:$E$244,A8)</f>
        <v>50.4</v>
      </c>
      <c r="G8" s="9">
        <f>SUMIFS(入库明细!$O$5:$O$204,入库明细!$G$5:$G$204,A8,入库明细!$Q$5:$Q$204,"&lt;&gt;不合格",入库明细!$Q$5:$Q$204,"&lt;&gt;退货")</f>
        <v>52.8</v>
      </c>
      <c r="H8" s="9">
        <f>SUMIFS(出库明细!$O$5:$O$204,出库明细!$G$5:$G$204,A8)</f>
        <v>21.6</v>
      </c>
      <c r="I8" s="9">
        <f t="shared" si="0"/>
        <v>31.2</v>
      </c>
      <c r="J8" s="9">
        <f t="shared" si="1"/>
        <v>-19.2</v>
      </c>
      <c r="K8" s="6" t="str">
        <f t="shared" si="2"/>
        <v>低于安全库存</v>
      </c>
      <c r="L8" s="10">
        <f t="shared" si="3"/>
        <v>99.2</v>
      </c>
      <c r="M8" s="10">
        <v>15</v>
      </c>
      <c r="N8" s="6" t="s">
        <v>438</v>
      </c>
      <c r="O8" s="6" t="s">
        <v>75</v>
      </c>
    </row>
    <row r="9" ht="14.4" spans="1:15">
      <c r="A9" s="6" t="s">
        <v>447</v>
      </c>
      <c r="B9" s="6" t="s">
        <v>448</v>
      </c>
      <c r="C9" s="6" t="s">
        <v>21</v>
      </c>
      <c r="D9" s="6" t="s">
        <v>437</v>
      </c>
      <c r="E9" s="9">
        <v>80</v>
      </c>
      <c r="F9" s="9">
        <f>SUMIFS(BOM用料!$N$5:$N$244,BOM用料!$E$5:$E$244,A9)</f>
        <v>1383.375</v>
      </c>
      <c r="G9" s="9">
        <f>SUMIFS(入库明细!$O$5:$O$204,入库明细!$G$5:$G$204,A9,入库明细!$Q$5:$Q$204,"&lt;&gt;不合格",入库明细!$Q$5:$Q$204,"&lt;&gt;退货")</f>
        <v>6864</v>
      </c>
      <c r="H9" s="9">
        <f>SUMIFS(出库明细!$O$5:$O$204,出库明细!$G$5:$G$204,A9)</f>
        <v>592.875</v>
      </c>
      <c r="I9" s="9">
        <f t="shared" si="0"/>
        <v>6271.125</v>
      </c>
      <c r="J9" s="9">
        <f t="shared" si="1"/>
        <v>4887.75</v>
      </c>
      <c r="K9" s="6" t="str">
        <f t="shared" si="2"/>
        <v>正常</v>
      </c>
      <c r="L9" s="10">
        <f t="shared" si="3"/>
        <v>0</v>
      </c>
      <c r="M9" s="10">
        <v>15</v>
      </c>
      <c r="N9" s="6" t="s">
        <v>438</v>
      </c>
      <c r="O9" s="6" t="s">
        <v>49</v>
      </c>
    </row>
    <row r="10" ht="14.4" spans="1:15">
      <c r="A10" s="6" t="s">
        <v>449</v>
      </c>
      <c r="B10" s="6" t="s">
        <v>450</v>
      </c>
      <c r="C10" s="6" t="s">
        <v>21</v>
      </c>
      <c r="D10" s="6" t="s">
        <v>437</v>
      </c>
      <c r="E10" s="9">
        <v>80</v>
      </c>
      <c r="F10" s="9">
        <f>SUMIFS(BOM用料!$N$5:$N$244,BOM用料!$E$5:$E$244,A10)</f>
        <v>35.7</v>
      </c>
      <c r="G10" s="9">
        <f>SUMIFS(入库明细!$O$5:$O$204,入库明细!$G$5:$G$204,A10,入库明细!$Q$5:$Q$204,"&lt;&gt;不合格",入库明细!$Q$5:$Q$204,"&lt;&gt;退货")</f>
        <v>191</v>
      </c>
      <c r="H10" s="9">
        <f>SUMIFS(出库明细!$O$5:$O$204,出库明细!$G$5:$G$204,A10)</f>
        <v>15.3</v>
      </c>
      <c r="I10" s="9">
        <f t="shared" si="0"/>
        <v>175.7</v>
      </c>
      <c r="J10" s="9">
        <f t="shared" si="1"/>
        <v>140</v>
      </c>
      <c r="K10" s="6" t="str">
        <f t="shared" si="2"/>
        <v>正常</v>
      </c>
      <c r="L10" s="10">
        <f t="shared" si="3"/>
        <v>0</v>
      </c>
      <c r="M10" s="10">
        <v>15</v>
      </c>
      <c r="N10" s="6" t="s">
        <v>438</v>
      </c>
      <c r="O10" s="6" t="s">
        <v>49</v>
      </c>
    </row>
    <row r="11" ht="14.4" spans="1:15">
      <c r="A11" s="6" t="s">
        <v>451</v>
      </c>
      <c r="B11" s="6" t="s">
        <v>90</v>
      </c>
      <c r="C11" s="6" t="s">
        <v>20</v>
      </c>
      <c r="D11" s="6" t="s">
        <v>441</v>
      </c>
      <c r="E11" s="9">
        <v>30</v>
      </c>
      <c r="F11" s="9">
        <f>SUMIFS(BOM用料!$N$5:$N$244,BOM用料!$E$5:$E$244,A11)</f>
        <v>159.7736</v>
      </c>
      <c r="G11" s="9">
        <f>SUMIFS(入库明细!$O$5:$O$204,入库明细!$G$5:$G$204,A11,入库明细!$Q$5:$Q$204,"&lt;&gt;不合格",入库明细!$Q$5:$Q$204,"&lt;&gt;退货")</f>
        <v>362</v>
      </c>
      <c r="H11" s="9">
        <f>SUMIFS(出库明细!$O$5:$O$204,出库明细!$G$5:$G$204,A11)</f>
        <v>69.804</v>
      </c>
      <c r="I11" s="9">
        <f t="shared" si="0"/>
        <v>292.196</v>
      </c>
      <c r="J11" s="9">
        <f t="shared" si="1"/>
        <v>132.4224</v>
      </c>
      <c r="K11" s="6" t="str">
        <f t="shared" si="2"/>
        <v>正常</v>
      </c>
      <c r="L11" s="10">
        <f t="shared" si="3"/>
        <v>0</v>
      </c>
      <c r="M11" s="10">
        <v>20</v>
      </c>
      <c r="N11" s="6" t="s">
        <v>442</v>
      </c>
      <c r="O11" s="6" t="s">
        <v>49</v>
      </c>
    </row>
    <row r="12" ht="14.4" spans="1:15">
      <c r="A12" s="6" t="s">
        <v>452</v>
      </c>
      <c r="B12" s="6" t="s">
        <v>90</v>
      </c>
      <c r="C12" s="6" t="s">
        <v>20</v>
      </c>
      <c r="D12" s="6" t="s">
        <v>441</v>
      </c>
      <c r="E12" s="9">
        <v>30</v>
      </c>
      <c r="F12" s="9">
        <f>SUMIFS(BOM用料!$N$5:$N$244,BOM用料!$E$5:$E$244,A12)</f>
        <v>162.05608</v>
      </c>
      <c r="G12" s="9">
        <f>SUMIFS(入库明细!$O$5:$O$204,入库明细!$G$5:$G$204,A12,入库明细!$Q$5:$Q$204,"&lt;&gt;不合格",入库明细!$Q$5:$Q$204,"&lt;&gt;退货")</f>
        <v>362</v>
      </c>
      <c r="H12" s="9">
        <f>SUMIFS(出库明细!$O$5:$O$204,出库明细!$G$5:$G$204,A12)</f>
        <v>70.801</v>
      </c>
      <c r="I12" s="9">
        <f t="shared" si="0"/>
        <v>291.199</v>
      </c>
      <c r="J12" s="9">
        <f t="shared" si="1"/>
        <v>129.14292</v>
      </c>
      <c r="K12" s="6" t="str">
        <f t="shared" si="2"/>
        <v>正常</v>
      </c>
      <c r="L12" s="10">
        <f t="shared" si="3"/>
        <v>0</v>
      </c>
      <c r="M12" s="10">
        <v>20</v>
      </c>
      <c r="N12" s="6" t="s">
        <v>442</v>
      </c>
      <c r="O12" s="6" t="s">
        <v>49</v>
      </c>
    </row>
    <row r="13" ht="14.4" spans="1:15">
      <c r="A13" s="6" t="s">
        <v>453</v>
      </c>
      <c r="B13" s="6" t="s">
        <v>95</v>
      </c>
      <c r="C13" s="6" t="s">
        <v>21</v>
      </c>
      <c r="D13" s="6" t="s">
        <v>437</v>
      </c>
      <c r="E13" s="9">
        <v>80</v>
      </c>
      <c r="F13" s="9">
        <f>SUMIFS(BOM用料!$N$5:$N$244,BOM用料!$E$5:$E$244,A13)</f>
        <v>275.2134</v>
      </c>
      <c r="G13" s="9">
        <f>SUMIFS(入库明细!$O$5:$O$204,入库明细!$G$5:$G$204,A13,入库明细!$Q$5:$Q$204,"&lt;&gt;不合格",入库明细!$Q$5:$Q$204,"&lt;&gt;退货")</f>
        <v>3027</v>
      </c>
      <c r="H13" s="9">
        <f>SUMIFS(出库明细!$O$5:$O$204,出库明细!$G$5:$G$204,A13)</f>
        <v>117.949</v>
      </c>
      <c r="I13" s="9">
        <f t="shared" si="0"/>
        <v>2909.051</v>
      </c>
      <c r="J13" s="9">
        <f t="shared" si="1"/>
        <v>2633.8376</v>
      </c>
      <c r="K13" s="6" t="str">
        <f t="shared" si="2"/>
        <v>正常</v>
      </c>
      <c r="L13" s="10">
        <f t="shared" si="3"/>
        <v>0</v>
      </c>
      <c r="M13" s="10">
        <v>15</v>
      </c>
      <c r="N13" s="6" t="s">
        <v>438</v>
      </c>
      <c r="O13" s="6" t="s">
        <v>49</v>
      </c>
    </row>
    <row r="14" ht="14.4" spans="1:15">
      <c r="A14" s="6" t="s">
        <v>454</v>
      </c>
      <c r="B14" s="6" t="s">
        <v>455</v>
      </c>
      <c r="C14" s="6" t="s">
        <v>20</v>
      </c>
      <c r="D14" s="6" t="s">
        <v>441</v>
      </c>
      <c r="E14" s="9">
        <v>30</v>
      </c>
      <c r="F14" s="9">
        <f>SUMIFS(BOM用料!$N$5:$N$244,BOM用料!$E$5:$E$244,A14)</f>
        <v>52.53</v>
      </c>
      <c r="G14" s="9">
        <f>SUMIFS(入库明细!$O$5:$O$204,入库明细!$G$5:$G$204,A14,入库明细!$Q$5:$Q$204,"&lt;&gt;不合格",入库明细!$Q$5:$Q$204,"&lt;&gt;退货")</f>
        <v>51</v>
      </c>
      <c r="H14" s="9">
        <f>SUMIFS(出库明细!$O$5:$O$204,出库明细!$G$5:$G$204,A14)</f>
        <v>22.95</v>
      </c>
      <c r="I14" s="9">
        <f t="shared" si="0"/>
        <v>28.05</v>
      </c>
      <c r="J14" s="9">
        <f t="shared" si="1"/>
        <v>-24.48</v>
      </c>
      <c r="K14" s="6" t="str">
        <f t="shared" si="2"/>
        <v>低于安全库存</v>
      </c>
      <c r="L14" s="10">
        <f t="shared" si="3"/>
        <v>54.48</v>
      </c>
      <c r="M14" s="10">
        <v>20</v>
      </c>
      <c r="N14" s="6" t="s">
        <v>442</v>
      </c>
      <c r="O14" s="6" t="s">
        <v>49</v>
      </c>
    </row>
    <row r="15" ht="14.4" spans="1:15">
      <c r="A15" s="6" t="s">
        <v>456</v>
      </c>
      <c r="B15" s="6" t="s">
        <v>457</v>
      </c>
      <c r="C15" s="6" t="s">
        <v>22</v>
      </c>
      <c r="D15" s="6" t="s">
        <v>458</v>
      </c>
      <c r="E15" s="9">
        <v>100</v>
      </c>
      <c r="F15" s="9">
        <f>SUMIFS(BOM用料!$N$5:$N$244,BOM用料!$E$5:$E$244,A15)</f>
        <v>8.19</v>
      </c>
      <c r="G15" s="9">
        <f>SUMIFS(入库明细!$O$5:$O$204,入库明细!$G$5:$G$204,A15,入库明细!$Q$5:$Q$204,"&lt;&gt;不合格",入库明细!$Q$5:$Q$204,"&lt;&gt;退货")</f>
        <v>7.8</v>
      </c>
      <c r="H15" s="9">
        <f>SUMIFS(出库明细!$O$5:$O$204,出库明细!$G$5:$G$204,A15)</f>
        <v>3.51</v>
      </c>
      <c r="I15" s="9">
        <f t="shared" si="0"/>
        <v>4.29</v>
      </c>
      <c r="J15" s="9">
        <f t="shared" si="1"/>
        <v>-3.9</v>
      </c>
      <c r="K15" s="6" t="str">
        <f t="shared" si="2"/>
        <v>低于安全库存</v>
      </c>
      <c r="L15" s="10">
        <f t="shared" si="3"/>
        <v>103.9</v>
      </c>
      <c r="M15" s="10">
        <v>10</v>
      </c>
      <c r="N15" s="6" t="s">
        <v>459</v>
      </c>
      <c r="O15" s="6" t="s">
        <v>49</v>
      </c>
    </row>
    <row r="16" ht="14.4" spans="1:15">
      <c r="A16" s="6" t="s">
        <v>460</v>
      </c>
      <c r="B16" s="6" t="s">
        <v>461</v>
      </c>
      <c r="C16" s="6" t="s">
        <v>21</v>
      </c>
      <c r="D16" s="6" t="s">
        <v>437</v>
      </c>
      <c r="E16" s="9">
        <v>80</v>
      </c>
      <c r="F16" s="9">
        <f>SUMIFS(BOM用料!$N$5:$N$244,BOM用料!$E$5:$E$244,A16)</f>
        <v>4.725</v>
      </c>
      <c r="G16" s="9">
        <f>SUMIFS(入库明细!$O$5:$O$204,入库明细!$G$5:$G$204,A16,入库明细!$Q$5:$Q$204,"&lt;&gt;不合格",入库明细!$Q$5:$Q$204,"&lt;&gt;退货")</f>
        <v>4.5</v>
      </c>
      <c r="H16" s="9">
        <f>SUMIFS(出库明细!$O$5:$O$204,出库明细!$G$5:$G$204,A16)</f>
        <v>2.025</v>
      </c>
      <c r="I16" s="9">
        <f t="shared" si="0"/>
        <v>2.475</v>
      </c>
      <c r="J16" s="9">
        <f t="shared" si="1"/>
        <v>-2.25</v>
      </c>
      <c r="K16" s="6" t="str">
        <f t="shared" si="2"/>
        <v>低于安全库存</v>
      </c>
      <c r="L16" s="10">
        <f t="shared" si="3"/>
        <v>82.25</v>
      </c>
      <c r="M16" s="10">
        <v>15</v>
      </c>
      <c r="N16" s="6" t="s">
        <v>438</v>
      </c>
      <c r="O16" s="6" t="s">
        <v>49</v>
      </c>
    </row>
    <row r="17" ht="14.4" spans="1:15">
      <c r="A17" s="6" t="s">
        <v>462</v>
      </c>
      <c r="B17" s="6" t="s">
        <v>463</v>
      </c>
      <c r="C17" s="6" t="s">
        <v>21</v>
      </c>
      <c r="D17" s="6" t="s">
        <v>437</v>
      </c>
      <c r="E17" s="9">
        <v>80</v>
      </c>
      <c r="F17" s="9">
        <f>SUMIFS(BOM用料!$N$5:$N$244,BOM用料!$E$5:$E$244,A17)</f>
        <v>217.14</v>
      </c>
      <c r="G17" s="9">
        <f>SUMIFS(入库明细!$O$5:$O$204,入库明细!$G$5:$G$204,A17,入库明细!$Q$5:$Q$204,"&lt;&gt;不合格",入库明细!$Q$5:$Q$204,"&lt;&gt;退货")</f>
        <v>208</v>
      </c>
      <c r="H17" s="9">
        <f>SUMIFS(出库明细!$O$5:$O$204,出库明细!$G$5:$G$204,A17)</f>
        <v>93.06</v>
      </c>
      <c r="I17" s="9">
        <f t="shared" si="0"/>
        <v>114.94</v>
      </c>
      <c r="J17" s="9">
        <f t="shared" si="1"/>
        <v>-102.2</v>
      </c>
      <c r="K17" s="6" t="str">
        <f t="shared" si="2"/>
        <v>订单缺料</v>
      </c>
      <c r="L17" s="10">
        <f t="shared" si="3"/>
        <v>182.2</v>
      </c>
      <c r="M17" s="10">
        <v>15</v>
      </c>
      <c r="N17" s="6" t="s">
        <v>438</v>
      </c>
      <c r="O17" s="6" t="s">
        <v>49</v>
      </c>
    </row>
    <row r="18" ht="14.4" spans="1:15">
      <c r="A18" s="6" t="s">
        <v>464</v>
      </c>
      <c r="B18" s="6" t="s">
        <v>465</v>
      </c>
      <c r="C18" s="6" t="s">
        <v>21</v>
      </c>
      <c r="D18" s="6" t="s">
        <v>437</v>
      </c>
      <c r="E18" s="9">
        <v>80</v>
      </c>
      <c r="F18" s="9">
        <f>SUMIFS(BOM用料!$N$5:$N$244,BOM用料!$E$5:$E$244,A18)</f>
        <v>35.532</v>
      </c>
      <c r="G18" s="9">
        <f>SUMIFS(入库明细!$O$5:$O$204,入库明细!$G$5:$G$204,A18,入库明细!$Q$5:$Q$204,"&lt;&gt;不合格",入库明细!$Q$5:$Q$204,"&lt;&gt;退货")</f>
        <v>38</v>
      </c>
      <c r="H18" s="9">
        <f>SUMIFS(出库明细!$O$5:$O$204,出库明细!$G$5:$G$204,A18)</f>
        <v>15.228</v>
      </c>
      <c r="I18" s="9">
        <f t="shared" si="0"/>
        <v>22.772</v>
      </c>
      <c r="J18" s="9">
        <f t="shared" si="1"/>
        <v>-12.76</v>
      </c>
      <c r="K18" s="6" t="str">
        <f t="shared" si="2"/>
        <v>低于安全库存</v>
      </c>
      <c r="L18" s="10">
        <f t="shared" si="3"/>
        <v>92.76</v>
      </c>
      <c r="M18" s="10">
        <v>15</v>
      </c>
      <c r="N18" s="6" t="s">
        <v>438</v>
      </c>
      <c r="O18" s="6" t="s">
        <v>49</v>
      </c>
    </row>
    <row r="19" ht="14.4" spans="1:15">
      <c r="A19" s="6" t="s">
        <v>466</v>
      </c>
      <c r="B19" s="6" t="s">
        <v>455</v>
      </c>
      <c r="C19" s="6" t="s">
        <v>20</v>
      </c>
      <c r="D19" s="6" t="s">
        <v>441</v>
      </c>
      <c r="E19" s="9">
        <v>30</v>
      </c>
      <c r="F19" s="9">
        <f>SUMIFS(BOM用料!$N$5:$N$244,BOM用料!$E$5:$E$244,A19)</f>
        <v>59.328</v>
      </c>
      <c r="G19" s="9">
        <f>SUMIFS(入库明细!$O$5:$O$204,入库明细!$G$5:$G$204,A19,入库明细!$Q$5:$Q$204,"&lt;&gt;不合格",入库明细!$Q$5:$Q$204,"&lt;&gt;退货")</f>
        <v>57.6</v>
      </c>
      <c r="H19" s="9">
        <f>SUMIFS(出库明细!$O$5:$O$204,出库明细!$G$5:$G$204,A19)</f>
        <v>25.92</v>
      </c>
      <c r="I19" s="9">
        <f t="shared" si="0"/>
        <v>31.68</v>
      </c>
      <c r="J19" s="9">
        <f t="shared" si="1"/>
        <v>-27.648</v>
      </c>
      <c r="K19" s="6" t="str">
        <f t="shared" si="2"/>
        <v>订单缺料</v>
      </c>
      <c r="L19" s="10">
        <f t="shared" si="3"/>
        <v>57.648</v>
      </c>
      <c r="M19" s="10">
        <v>20</v>
      </c>
      <c r="N19" s="6" t="s">
        <v>442</v>
      </c>
      <c r="O19" s="6" t="s">
        <v>49</v>
      </c>
    </row>
    <row r="20" ht="14.4" spans="1:15">
      <c r="A20" s="6" t="s">
        <v>467</v>
      </c>
      <c r="B20" s="6" t="s">
        <v>468</v>
      </c>
      <c r="C20" s="6" t="s">
        <v>21</v>
      </c>
      <c r="D20" s="6" t="s">
        <v>437</v>
      </c>
      <c r="E20" s="9">
        <v>80</v>
      </c>
      <c r="F20" s="9">
        <f>SUMIFS(BOM用料!$N$5:$N$244,BOM用料!$E$5:$E$244,A20)</f>
        <v>8.19</v>
      </c>
      <c r="G20" s="9">
        <f>SUMIFS(入库明细!$O$5:$O$204,入库明细!$G$5:$G$204,A20,入库明细!$Q$5:$Q$204,"&lt;&gt;不合格",入库明细!$Q$5:$Q$204,"&lt;&gt;退货")</f>
        <v>7.8</v>
      </c>
      <c r="H20" s="9">
        <f>SUMIFS(出库明细!$O$5:$O$204,出库明细!$G$5:$G$204,A20)</f>
        <v>3.51</v>
      </c>
      <c r="I20" s="9">
        <f t="shared" si="0"/>
        <v>4.29</v>
      </c>
      <c r="J20" s="9">
        <f t="shared" si="1"/>
        <v>-3.9</v>
      </c>
      <c r="K20" s="6" t="str">
        <f t="shared" si="2"/>
        <v>低于安全库存</v>
      </c>
      <c r="L20" s="10">
        <f t="shared" si="3"/>
        <v>83.9</v>
      </c>
      <c r="M20" s="10">
        <v>15</v>
      </c>
      <c r="N20" s="6" t="s">
        <v>438</v>
      </c>
      <c r="O20" s="6" t="s">
        <v>49</v>
      </c>
    </row>
    <row r="21" ht="14.4" spans="1:15">
      <c r="A21" s="6" t="s">
        <v>469</v>
      </c>
      <c r="B21" s="6" t="s">
        <v>455</v>
      </c>
      <c r="C21" s="6" t="s">
        <v>20</v>
      </c>
      <c r="D21" s="6" t="s">
        <v>441</v>
      </c>
      <c r="E21" s="9">
        <v>30</v>
      </c>
      <c r="F21" s="9">
        <f>SUMIFS(BOM用料!$N$5:$N$244,BOM用料!$E$5:$E$244,A21)</f>
        <v>4.944</v>
      </c>
      <c r="G21" s="9">
        <f>SUMIFS(入库明细!$O$5:$O$204,入库明细!$G$5:$G$204,A21,入库明细!$Q$5:$Q$204,"&lt;&gt;不合格",入库明细!$Q$5:$Q$204,"&lt;&gt;退货")</f>
        <v>4.8</v>
      </c>
      <c r="H21" s="9">
        <f>SUMIFS(出库明细!$O$5:$O$204,出库明细!$G$5:$G$204,A21)</f>
        <v>2.16</v>
      </c>
      <c r="I21" s="9">
        <f t="shared" si="0"/>
        <v>2.64</v>
      </c>
      <c r="J21" s="9">
        <f t="shared" si="1"/>
        <v>-2.304</v>
      </c>
      <c r="K21" s="6" t="str">
        <f t="shared" si="2"/>
        <v>低于安全库存</v>
      </c>
      <c r="L21" s="10">
        <f t="shared" si="3"/>
        <v>32.304</v>
      </c>
      <c r="M21" s="10">
        <v>20</v>
      </c>
      <c r="N21" s="6" t="s">
        <v>442</v>
      </c>
      <c r="O21" s="6" t="s">
        <v>49</v>
      </c>
    </row>
    <row r="22" ht="14.4" spans="1:15">
      <c r="A22" s="6" t="s">
        <v>470</v>
      </c>
      <c r="B22" s="6" t="s">
        <v>471</v>
      </c>
      <c r="C22" s="6" t="s">
        <v>20</v>
      </c>
      <c r="D22" s="6" t="s">
        <v>441</v>
      </c>
      <c r="E22" s="9">
        <v>30</v>
      </c>
      <c r="F22" s="9">
        <f>SUMIFS(BOM用料!$N$5:$N$244,BOM用料!$E$5:$E$244,A22)</f>
        <v>49.44</v>
      </c>
      <c r="G22" s="9">
        <f>SUMIFS(入库明细!$O$5:$O$204,入库明细!$G$5:$G$204,A22,入库明细!$Q$5:$Q$204,"&lt;&gt;不合格",入库明细!$Q$5:$Q$204,"&lt;&gt;退货")</f>
        <v>52.16</v>
      </c>
      <c r="H22" s="9">
        <f>SUMIFS(出库明细!$O$5:$O$204,出库明细!$G$5:$G$204,A22)</f>
        <v>21.6</v>
      </c>
      <c r="I22" s="9">
        <f t="shared" si="0"/>
        <v>30.56</v>
      </c>
      <c r="J22" s="9">
        <f t="shared" si="1"/>
        <v>-18.88</v>
      </c>
      <c r="K22" s="6" t="str">
        <f t="shared" si="2"/>
        <v>订单缺料</v>
      </c>
      <c r="L22" s="10">
        <f t="shared" si="3"/>
        <v>48.88</v>
      </c>
      <c r="M22" s="10">
        <v>20</v>
      </c>
      <c r="N22" s="6" t="s">
        <v>442</v>
      </c>
      <c r="O22" s="6" t="s">
        <v>120</v>
      </c>
    </row>
    <row r="23" ht="14.4" spans="1:15">
      <c r="A23" s="6" t="s">
        <v>472</v>
      </c>
      <c r="B23" s="6" t="s">
        <v>473</v>
      </c>
      <c r="C23" s="6" t="s">
        <v>20</v>
      </c>
      <c r="D23" s="6" t="s">
        <v>441</v>
      </c>
      <c r="E23" s="9">
        <v>30</v>
      </c>
      <c r="F23" s="9">
        <f>SUMIFS(BOM用料!$N$5:$N$244,BOM用料!$E$5:$E$244,A23)</f>
        <v>58.71</v>
      </c>
      <c r="G23" s="9">
        <f>SUMIFS(入库明细!$O$5:$O$204,入库明细!$G$5:$G$204,A23,入库明细!$Q$5:$Q$204,"&lt;&gt;不合格",入库明细!$Q$5:$Q$204,"&lt;&gt;退货")</f>
        <v>123.46</v>
      </c>
      <c r="H23" s="9">
        <f>SUMIFS(出库明细!$O$5:$O$204,出库明细!$G$5:$G$204,A23)</f>
        <v>0</v>
      </c>
      <c r="I23" s="9">
        <f t="shared" si="0"/>
        <v>123.46</v>
      </c>
      <c r="J23" s="9">
        <f t="shared" si="1"/>
        <v>64.75</v>
      </c>
      <c r="K23" s="6" t="str">
        <f t="shared" si="2"/>
        <v>正常</v>
      </c>
      <c r="L23" s="10">
        <f t="shared" si="3"/>
        <v>0</v>
      </c>
      <c r="M23" s="10">
        <v>20</v>
      </c>
      <c r="N23" s="6" t="s">
        <v>442</v>
      </c>
      <c r="O23" s="6" t="s">
        <v>120</v>
      </c>
    </row>
    <row r="24" ht="14.4" spans="1:15">
      <c r="A24" s="6" t="s">
        <v>474</v>
      </c>
      <c r="B24" s="6" t="s">
        <v>475</v>
      </c>
      <c r="C24" s="6" t="s">
        <v>20</v>
      </c>
      <c r="D24" s="6" t="s">
        <v>441</v>
      </c>
      <c r="E24" s="9">
        <v>30</v>
      </c>
      <c r="F24" s="9">
        <f>SUMIFS(BOM用料!$N$5:$N$244,BOM用料!$E$5:$E$244,A24)</f>
        <v>6.18</v>
      </c>
      <c r="G24" s="9">
        <f>SUMIFS(入库明细!$O$5:$O$204,入库明细!$G$5:$G$204,A24,入库明细!$Q$5:$Q$204,"&lt;&gt;不合格",入库明细!$Q$5:$Q$204,"&lt;&gt;退货")</f>
        <v>16.53</v>
      </c>
      <c r="H24" s="9">
        <f>SUMIFS(出库明细!$O$5:$O$204,出库明细!$G$5:$G$204,A24)</f>
        <v>0</v>
      </c>
      <c r="I24" s="9">
        <f t="shared" si="0"/>
        <v>16.53</v>
      </c>
      <c r="J24" s="9">
        <f t="shared" si="1"/>
        <v>10.35</v>
      </c>
      <c r="K24" s="6" t="str">
        <f t="shared" si="2"/>
        <v>低于安全库存</v>
      </c>
      <c r="L24" s="10">
        <f t="shared" si="3"/>
        <v>19.65</v>
      </c>
      <c r="M24" s="10">
        <v>20</v>
      </c>
      <c r="N24" s="6" t="s">
        <v>442</v>
      </c>
      <c r="O24" s="6" t="s">
        <v>120</v>
      </c>
    </row>
    <row r="25" ht="14.4" spans="1:15">
      <c r="A25" s="6" t="s">
        <v>476</v>
      </c>
      <c r="B25" s="6" t="s">
        <v>126</v>
      </c>
      <c r="C25" s="6" t="s">
        <v>22</v>
      </c>
      <c r="D25" s="6" t="s">
        <v>458</v>
      </c>
      <c r="E25" s="9">
        <v>100</v>
      </c>
      <c r="F25" s="9">
        <f>SUMIFS(BOM用料!$N$5:$N$244,BOM用料!$E$5:$E$244,A25)</f>
        <v>748.125</v>
      </c>
      <c r="G25" s="9">
        <f>SUMIFS(入库明细!$O$5:$O$204,入库明细!$G$5:$G$204,A25,入库明细!$Q$5:$Q$204,"&lt;&gt;不合格",入库明细!$Q$5:$Q$204,"&lt;&gt;退货")</f>
        <v>0</v>
      </c>
      <c r="H25" s="9">
        <f>SUMIFS(出库明细!$O$5:$O$204,出库明细!$G$5:$G$204,A25)</f>
        <v>0</v>
      </c>
      <c r="I25" s="9">
        <f t="shared" si="0"/>
        <v>0</v>
      </c>
      <c r="J25" s="9">
        <f t="shared" si="1"/>
        <v>-748.125</v>
      </c>
      <c r="K25" s="6" t="str">
        <f t="shared" si="2"/>
        <v>低于安全库存</v>
      </c>
      <c r="L25" s="10">
        <f t="shared" si="3"/>
        <v>848.125</v>
      </c>
      <c r="M25" s="10">
        <v>10</v>
      </c>
      <c r="N25" s="6" t="s">
        <v>459</v>
      </c>
      <c r="O25" s="6" t="s">
        <v>49</v>
      </c>
    </row>
    <row r="26" ht="14.4" spans="1:15">
      <c r="A26" s="6" t="s">
        <v>477</v>
      </c>
      <c r="B26" s="6" t="s">
        <v>478</v>
      </c>
      <c r="C26" s="6" t="s">
        <v>21</v>
      </c>
      <c r="D26" s="6" t="s">
        <v>437</v>
      </c>
      <c r="E26" s="9">
        <v>80</v>
      </c>
      <c r="F26" s="9">
        <f>SUMIFS(BOM用料!$N$5:$N$244,BOM用料!$E$5:$E$244,A26)</f>
        <v>1165.5</v>
      </c>
      <c r="G26" s="9">
        <f>SUMIFS(入库明细!$O$5:$O$204,入库明细!$G$5:$G$204,A26,入库明细!$Q$5:$Q$204,"&lt;&gt;不合格",入库明细!$Q$5:$Q$204,"&lt;&gt;退货")</f>
        <v>0</v>
      </c>
      <c r="H26" s="9">
        <f>SUMIFS(出库明细!$O$5:$O$204,出库明细!$G$5:$G$204,A26)</f>
        <v>0</v>
      </c>
      <c r="I26" s="9">
        <f t="shared" si="0"/>
        <v>0</v>
      </c>
      <c r="J26" s="9">
        <f t="shared" si="1"/>
        <v>-1165.5</v>
      </c>
      <c r="K26" s="6" t="str">
        <f t="shared" si="2"/>
        <v>低于安全库存</v>
      </c>
      <c r="L26" s="10">
        <f t="shared" si="3"/>
        <v>1245.5</v>
      </c>
      <c r="M26" s="10">
        <v>15</v>
      </c>
      <c r="N26" s="6" t="s">
        <v>438</v>
      </c>
      <c r="O26" s="6" t="s">
        <v>49</v>
      </c>
    </row>
    <row r="27" ht="14.4" spans="1:15">
      <c r="A27" s="6" t="s">
        <v>479</v>
      </c>
      <c r="B27" s="6" t="s">
        <v>480</v>
      </c>
      <c r="C27" s="6" t="s">
        <v>21</v>
      </c>
      <c r="D27" s="6" t="s">
        <v>437</v>
      </c>
      <c r="E27" s="9">
        <v>80</v>
      </c>
      <c r="F27" s="9">
        <f>SUMIFS(BOM用料!$N$5:$N$244,BOM用料!$E$5:$E$244,A27)</f>
        <v>47.25</v>
      </c>
      <c r="G27" s="9">
        <f>SUMIFS(入库明细!$O$5:$O$204,入库明细!$G$5:$G$204,A27,入库明细!$Q$5:$Q$204,"&lt;&gt;不合格",入库明细!$Q$5:$Q$204,"&lt;&gt;退货")</f>
        <v>0</v>
      </c>
      <c r="H27" s="9">
        <f>SUMIFS(出库明细!$O$5:$O$204,出库明细!$G$5:$G$204,A27)</f>
        <v>0</v>
      </c>
      <c r="I27" s="9">
        <f t="shared" si="0"/>
        <v>0</v>
      </c>
      <c r="J27" s="9">
        <f t="shared" si="1"/>
        <v>-47.25</v>
      </c>
      <c r="K27" s="6" t="str">
        <f t="shared" si="2"/>
        <v>低于安全库存</v>
      </c>
      <c r="L27" s="10">
        <f t="shared" si="3"/>
        <v>127.25</v>
      </c>
      <c r="M27" s="10">
        <v>15</v>
      </c>
      <c r="N27" s="6" t="s">
        <v>438</v>
      </c>
      <c r="O27" s="6" t="s">
        <v>49</v>
      </c>
    </row>
    <row r="28" ht="14.4" spans="1:15">
      <c r="A28" s="6" t="s">
        <v>481</v>
      </c>
      <c r="B28" s="6" t="s">
        <v>138</v>
      </c>
      <c r="C28" s="6" t="s">
        <v>22</v>
      </c>
      <c r="D28" s="6" t="s">
        <v>458</v>
      </c>
      <c r="E28" s="9">
        <v>100</v>
      </c>
      <c r="F28" s="9">
        <f>SUMIFS(BOM用料!$N$5:$N$244,BOM用料!$E$5:$E$244,A28)</f>
        <v>1953</v>
      </c>
      <c r="G28" s="9">
        <f>SUMIFS(入库明细!$O$5:$O$204,入库明细!$G$5:$G$204,A28,入库明细!$Q$5:$Q$204,"&lt;&gt;不合格",入库明细!$Q$5:$Q$204,"&lt;&gt;退货")</f>
        <v>0</v>
      </c>
      <c r="H28" s="9">
        <f>SUMIFS(出库明细!$O$5:$O$204,出库明细!$G$5:$G$204,A28)</f>
        <v>0</v>
      </c>
      <c r="I28" s="9">
        <f t="shared" si="0"/>
        <v>0</v>
      </c>
      <c r="J28" s="9">
        <f t="shared" si="1"/>
        <v>-1953</v>
      </c>
      <c r="K28" s="6" t="str">
        <f t="shared" si="2"/>
        <v>低于安全库存</v>
      </c>
      <c r="L28" s="10">
        <f t="shared" si="3"/>
        <v>2053</v>
      </c>
      <c r="M28" s="10">
        <v>10</v>
      </c>
      <c r="N28" s="6" t="s">
        <v>459</v>
      </c>
      <c r="O28" s="6" t="s">
        <v>49</v>
      </c>
    </row>
    <row r="29" ht="14.4" spans="1:15">
      <c r="A29" s="6" t="s">
        <v>482</v>
      </c>
      <c r="B29" s="6" t="s">
        <v>146</v>
      </c>
      <c r="C29" s="6" t="s">
        <v>21</v>
      </c>
      <c r="D29" s="6" t="s">
        <v>437</v>
      </c>
      <c r="E29" s="9">
        <v>80</v>
      </c>
      <c r="F29" s="9">
        <f>SUMIFS(BOM用料!$N$5:$N$244,BOM用料!$E$5:$E$244,A29)</f>
        <v>816.6375</v>
      </c>
      <c r="G29" s="9">
        <f>SUMIFS(入库明细!$O$5:$O$204,入库明细!$G$5:$G$204,A29,入库明细!$Q$5:$Q$204,"&lt;&gt;不合格",入库明细!$Q$5:$Q$204,"&lt;&gt;退货")</f>
        <v>0</v>
      </c>
      <c r="H29" s="9">
        <f>SUMIFS(出库明细!$O$5:$O$204,出库明细!$G$5:$G$204,A29)</f>
        <v>0</v>
      </c>
      <c r="I29" s="9">
        <f t="shared" si="0"/>
        <v>0</v>
      </c>
      <c r="J29" s="9">
        <f t="shared" si="1"/>
        <v>-816.6375</v>
      </c>
      <c r="K29" s="6" t="str">
        <f t="shared" si="2"/>
        <v>低于安全库存</v>
      </c>
      <c r="L29" s="10">
        <f t="shared" si="3"/>
        <v>896.6375</v>
      </c>
      <c r="M29" s="10">
        <v>15</v>
      </c>
      <c r="N29" s="6" t="s">
        <v>438</v>
      </c>
      <c r="O29" s="6" t="s">
        <v>49</v>
      </c>
    </row>
    <row r="30" ht="14.4" spans="1:15">
      <c r="A30" s="6" t="s">
        <v>483</v>
      </c>
      <c r="B30" s="6" t="s">
        <v>484</v>
      </c>
      <c r="C30" s="6" t="s">
        <v>21</v>
      </c>
      <c r="D30" s="6" t="s">
        <v>437</v>
      </c>
      <c r="E30" s="9">
        <v>80</v>
      </c>
      <c r="F30" s="9">
        <f>SUMIFS(BOM用料!$N$5:$N$244,BOM用料!$E$5:$E$244,A30)</f>
        <v>362.67</v>
      </c>
      <c r="G30" s="9">
        <f>SUMIFS(入库明细!$O$5:$O$204,入库明细!$G$5:$G$204,A30,入库明细!$Q$5:$Q$204,"&lt;&gt;不合格",入库明细!$Q$5:$Q$204,"&lt;&gt;退货")</f>
        <v>0</v>
      </c>
      <c r="H30" s="9">
        <f>SUMIFS(出库明细!$O$5:$O$204,出库明细!$G$5:$G$204,A30)</f>
        <v>0</v>
      </c>
      <c r="I30" s="9">
        <f t="shared" si="0"/>
        <v>0</v>
      </c>
      <c r="J30" s="9">
        <f t="shared" si="1"/>
        <v>-362.67</v>
      </c>
      <c r="K30" s="6" t="str">
        <f t="shared" si="2"/>
        <v>低于安全库存</v>
      </c>
      <c r="L30" s="10">
        <f t="shared" si="3"/>
        <v>442.67</v>
      </c>
      <c r="M30" s="10">
        <v>15</v>
      </c>
      <c r="N30" s="6" t="s">
        <v>438</v>
      </c>
      <c r="O30" s="6" t="s">
        <v>49</v>
      </c>
    </row>
    <row r="31" ht="14.4" spans="1:15">
      <c r="A31" s="6" t="s">
        <v>485</v>
      </c>
      <c r="B31" s="6" t="s">
        <v>486</v>
      </c>
      <c r="C31" s="6" t="s">
        <v>21</v>
      </c>
      <c r="D31" s="6" t="s">
        <v>437</v>
      </c>
      <c r="E31" s="9">
        <v>80</v>
      </c>
      <c r="F31" s="9">
        <f>SUMIFS(BOM用料!$N$5:$N$244,BOM用料!$E$5:$E$244,A31)</f>
        <v>118.692</v>
      </c>
      <c r="G31" s="9">
        <f>SUMIFS(入库明细!$O$5:$O$204,入库明细!$G$5:$G$204,A31,入库明细!$Q$5:$Q$204,"&lt;&gt;不合格",入库明细!$Q$5:$Q$204,"&lt;&gt;退货")</f>
        <v>0</v>
      </c>
      <c r="H31" s="9">
        <f>SUMIFS(出库明细!$O$5:$O$204,出库明细!$G$5:$G$204,A31)</f>
        <v>0</v>
      </c>
      <c r="I31" s="9">
        <f t="shared" si="0"/>
        <v>0</v>
      </c>
      <c r="J31" s="9">
        <f t="shared" si="1"/>
        <v>-118.692</v>
      </c>
      <c r="K31" s="6" t="str">
        <f t="shared" si="2"/>
        <v>低于安全库存</v>
      </c>
      <c r="L31" s="10">
        <f t="shared" si="3"/>
        <v>198.692</v>
      </c>
      <c r="M31" s="10">
        <v>15</v>
      </c>
      <c r="N31" s="6" t="s">
        <v>438</v>
      </c>
      <c r="O31" s="6" t="s">
        <v>49</v>
      </c>
    </row>
    <row r="32" ht="14.4" spans="1:15">
      <c r="A32" s="6" t="s">
        <v>487</v>
      </c>
      <c r="B32" s="6" t="s">
        <v>161</v>
      </c>
      <c r="C32" s="6" t="s">
        <v>20</v>
      </c>
      <c r="D32" s="6" t="s">
        <v>441</v>
      </c>
      <c r="E32" s="9">
        <v>30</v>
      </c>
      <c r="F32" s="9">
        <f>SUMIFS(BOM用料!$N$5:$N$244,BOM用料!$E$5:$E$244,A32)</f>
        <v>37.08</v>
      </c>
      <c r="G32" s="9">
        <f>SUMIFS(入库明细!$O$5:$O$204,入库明细!$G$5:$G$204,A32,入库明细!$Q$5:$Q$204,"&lt;&gt;不合格",入库明细!$Q$5:$Q$204,"&lt;&gt;退货")</f>
        <v>0</v>
      </c>
      <c r="H32" s="9">
        <f>SUMIFS(出库明细!$O$5:$O$204,出库明细!$G$5:$G$204,A32)</f>
        <v>0</v>
      </c>
      <c r="I32" s="9">
        <f t="shared" si="0"/>
        <v>0</v>
      </c>
      <c r="J32" s="9">
        <f t="shared" si="1"/>
        <v>-37.08</v>
      </c>
      <c r="K32" s="6" t="str">
        <f t="shared" si="2"/>
        <v>低于安全库存</v>
      </c>
      <c r="L32" s="10">
        <f t="shared" si="3"/>
        <v>67.08</v>
      </c>
      <c r="M32" s="10">
        <v>20</v>
      </c>
      <c r="N32" s="6" t="s">
        <v>442</v>
      </c>
      <c r="O32" s="6" t="s">
        <v>49</v>
      </c>
    </row>
    <row r="33" ht="14.4" spans="1:15">
      <c r="A33" s="6" t="s">
        <v>488</v>
      </c>
      <c r="B33" s="6" t="s">
        <v>161</v>
      </c>
      <c r="C33" s="6" t="s">
        <v>20</v>
      </c>
      <c r="D33" s="6" t="s">
        <v>441</v>
      </c>
      <c r="E33" s="9">
        <v>30</v>
      </c>
      <c r="F33" s="9">
        <f>SUMIFS(BOM用料!$N$5:$N$244,BOM用料!$E$5:$E$244,A33)</f>
        <v>37.08</v>
      </c>
      <c r="G33" s="9">
        <f>SUMIFS(入库明细!$O$5:$O$204,入库明细!$G$5:$G$204,A33,入库明细!$Q$5:$Q$204,"&lt;&gt;不合格",入库明细!$Q$5:$Q$204,"&lt;&gt;退货")</f>
        <v>0</v>
      </c>
      <c r="H33" s="9">
        <f>SUMIFS(出库明细!$O$5:$O$204,出库明细!$G$5:$G$204,A33)</f>
        <v>0</v>
      </c>
      <c r="I33" s="9">
        <f t="shared" si="0"/>
        <v>0</v>
      </c>
      <c r="J33" s="9">
        <f t="shared" si="1"/>
        <v>-37.08</v>
      </c>
      <c r="K33" s="6" t="str">
        <f t="shared" si="2"/>
        <v>低于安全库存</v>
      </c>
      <c r="L33" s="10">
        <f t="shared" si="3"/>
        <v>67.08</v>
      </c>
      <c r="M33" s="10">
        <v>20</v>
      </c>
      <c r="N33" s="6" t="s">
        <v>442</v>
      </c>
      <c r="O33" s="6" t="s">
        <v>49</v>
      </c>
    </row>
    <row r="34" ht="14.4" spans="1:15">
      <c r="A34" s="6" t="s">
        <v>489</v>
      </c>
      <c r="B34" s="6" t="s">
        <v>161</v>
      </c>
      <c r="C34" s="6" t="s">
        <v>20</v>
      </c>
      <c r="D34" s="6" t="s">
        <v>441</v>
      </c>
      <c r="E34" s="9">
        <v>30</v>
      </c>
      <c r="F34" s="9">
        <f>SUMIFS(BOM用料!$N$5:$N$244,BOM用料!$E$5:$E$244,A34)</f>
        <v>49.1825</v>
      </c>
      <c r="G34" s="9">
        <f>SUMIFS(入库明细!$O$5:$O$204,入库明细!$G$5:$G$204,A34,入库明细!$Q$5:$Q$204,"&lt;&gt;不合格",入库明细!$Q$5:$Q$204,"&lt;&gt;退货")</f>
        <v>0</v>
      </c>
      <c r="H34" s="9">
        <f>SUMIFS(出库明细!$O$5:$O$204,出库明细!$G$5:$G$204,A34)</f>
        <v>0</v>
      </c>
      <c r="I34" s="9">
        <f t="shared" si="0"/>
        <v>0</v>
      </c>
      <c r="J34" s="9">
        <f t="shared" si="1"/>
        <v>-49.1825</v>
      </c>
      <c r="K34" s="6" t="str">
        <f t="shared" si="2"/>
        <v>低于安全库存</v>
      </c>
      <c r="L34" s="10">
        <f t="shared" si="3"/>
        <v>79.1825</v>
      </c>
      <c r="M34" s="10">
        <v>20</v>
      </c>
      <c r="N34" s="6" t="s">
        <v>442</v>
      </c>
      <c r="O34" s="6" t="s">
        <v>49</v>
      </c>
    </row>
    <row r="35" ht="14.4" spans="1:15">
      <c r="A35" s="6" t="s">
        <v>490</v>
      </c>
      <c r="B35" s="6" t="s">
        <v>161</v>
      </c>
      <c r="C35" s="6" t="s">
        <v>20</v>
      </c>
      <c r="D35" s="6" t="s">
        <v>441</v>
      </c>
      <c r="E35" s="9">
        <v>30</v>
      </c>
      <c r="F35" s="9">
        <f>SUMIFS(BOM用料!$N$5:$N$244,BOM用料!$E$5:$E$244,A35)</f>
        <v>49.1825</v>
      </c>
      <c r="G35" s="9">
        <f>SUMIFS(入库明细!$O$5:$O$204,入库明细!$G$5:$G$204,A35,入库明细!$Q$5:$Q$204,"&lt;&gt;不合格",入库明细!$Q$5:$Q$204,"&lt;&gt;退货")</f>
        <v>0</v>
      </c>
      <c r="H35" s="9">
        <f>SUMIFS(出库明细!$O$5:$O$204,出库明细!$G$5:$G$204,A35)</f>
        <v>0</v>
      </c>
      <c r="I35" s="9">
        <f t="shared" si="0"/>
        <v>0</v>
      </c>
      <c r="J35" s="9">
        <f t="shared" si="1"/>
        <v>-49.1825</v>
      </c>
      <c r="K35" s="6" t="str">
        <f t="shared" si="2"/>
        <v>低于安全库存</v>
      </c>
      <c r="L35" s="10">
        <f t="shared" si="3"/>
        <v>79.1825</v>
      </c>
      <c r="M35" s="10">
        <v>20</v>
      </c>
      <c r="N35" s="6" t="s">
        <v>442</v>
      </c>
      <c r="O35" s="6" t="s">
        <v>49</v>
      </c>
    </row>
    <row r="36" ht="14.4" spans="1:15">
      <c r="A36" s="6" t="s">
        <v>491</v>
      </c>
      <c r="B36" s="6" t="s">
        <v>161</v>
      </c>
      <c r="C36" s="6" t="s">
        <v>20</v>
      </c>
      <c r="D36" s="6" t="s">
        <v>441</v>
      </c>
      <c r="E36" s="9">
        <v>30</v>
      </c>
      <c r="F36" s="9">
        <f>SUMIFS(BOM用料!$N$5:$N$244,BOM用料!$E$5:$E$244,A36)</f>
        <v>44.29</v>
      </c>
      <c r="G36" s="9">
        <f>SUMIFS(入库明细!$O$5:$O$204,入库明细!$G$5:$G$204,A36,入库明细!$Q$5:$Q$204,"&lt;&gt;不合格",入库明细!$Q$5:$Q$204,"&lt;&gt;退货")</f>
        <v>0</v>
      </c>
      <c r="H36" s="9">
        <f>SUMIFS(出库明细!$O$5:$O$204,出库明细!$G$5:$G$204,A36)</f>
        <v>0</v>
      </c>
      <c r="I36" s="9">
        <f t="shared" si="0"/>
        <v>0</v>
      </c>
      <c r="J36" s="9">
        <f t="shared" si="1"/>
        <v>-44.29</v>
      </c>
      <c r="K36" s="6" t="str">
        <f t="shared" si="2"/>
        <v>低于安全库存</v>
      </c>
      <c r="L36" s="10">
        <f t="shared" si="3"/>
        <v>74.29</v>
      </c>
      <c r="M36" s="10">
        <v>20</v>
      </c>
      <c r="N36" s="6" t="s">
        <v>442</v>
      </c>
      <c r="O36" s="6" t="s">
        <v>49</v>
      </c>
    </row>
    <row r="37" ht="14.4" spans="1:15">
      <c r="A37" s="6" t="s">
        <v>492</v>
      </c>
      <c r="B37" s="6" t="s">
        <v>493</v>
      </c>
      <c r="C37" s="6" t="s">
        <v>21</v>
      </c>
      <c r="D37" s="6" t="s">
        <v>437</v>
      </c>
      <c r="E37" s="9">
        <v>80</v>
      </c>
      <c r="F37" s="9">
        <f>SUMIFS(BOM用料!$N$5:$N$244,BOM用料!$E$5:$E$244,A37)</f>
        <v>45.15</v>
      </c>
      <c r="G37" s="9">
        <f>SUMIFS(入库明细!$O$5:$O$204,入库明细!$G$5:$G$204,A37,入库明细!$Q$5:$Q$204,"&lt;&gt;不合格",入库明细!$Q$5:$Q$204,"&lt;&gt;退货")</f>
        <v>0</v>
      </c>
      <c r="H37" s="9">
        <f>SUMIFS(出库明细!$O$5:$O$204,出库明细!$G$5:$G$204,A37)</f>
        <v>0</v>
      </c>
      <c r="I37" s="9">
        <f t="shared" si="0"/>
        <v>0</v>
      </c>
      <c r="J37" s="9">
        <f t="shared" si="1"/>
        <v>-45.15</v>
      </c>
      <c r="K37" s="6" t="str">
        <f t="shared" si="2"/>
        <v>低于安全库存</v>
      </c>
      <c r="L37" s="10">
        <f t="shared" si="3"/>
        <v>125.15</v>
      </c>
      <c r="M37" s="10">
        <v>15</v>
      </c>
      <c r="N37" s="6" t="s">
        <v>438</v>
      </c>
      <c r="O37" s="6" t="s">
        <v>49</v>
      </c>
    </row>
    <row r="38" ht="14.4" spans="1:15">
      <c r="A38" s="6" t="s">
        <v>494</v>
      </c>
      <c r="B38" s="6" t="s">
        <v>161</v>
      </c>
      <c r="C38" s="6" t="s">
        <v>20</v>
      </c>
      <c r="D38" s="6" t="s">
        <v>441</v>
      </c>
      <c r="E38" s="9">
        <v>30</v>
      </c>
      <c r="F38" s="9">
        <f>SUMIFS(BOM用料!$N$5:$N$244,BOM用料!$E$5:$E$244,A38)</f>
        <v>44.29</v>
      </c>
      <c r="G38" s="9">
        <f>SUMIFS(入库明细!$O$5:$O$204,入库明细!$G$5:$G$204,A38,入库明细!$Q$5:$Q$204,"&lt;&gt;不合格",入库明细!$Q$5:$Q$204,"&lt;&gt;退货")</f>
        <v>0</v>
      </c>
      <c r="H38" s="9">
        <f>SUMIFS(出库明细!$O$5:$O$204,出库明细!$G$5:$G$204,A38)</f>
        <v>0</v>
      </c>
      <c r="I38" s="9">
        <f t="shared" si="0"/>
        <v>0</v>
      </c>
      <c r="J38" s="9">
        <f t="shared" si="1"/>
        <v>-44.29</v>
      </c>
      <c r="K38" s="6" t="str">
        <f t="shared" si="2"/>
        <v>低于安全库存</v>
      </c>
      <c r="L38" s="10">
        <f t="shared" si="3"/>
        <v>74.29</v>
      </c>
      <c r="M38" s="10">
        <v>20</v>
      </c>
      <c r="N38" s="6" t="s">
        <v>442</v>
      </c>
      <c r="O38" s="6" t="s">
        <v>49</v>
      </c>
    </row>
    <row r="39" ht="14.4" spans="1:15">
      <c r="A39" s="6" t="s">
        <v>495</v>
      </c>
      <c r="B39" s="6" t="s">
        <v>161</v>
      </c>
      <c r="C39" s="6" t="s">
        <v>20</v>
      </c>
      <c r="D39" s="6" t="s">
        <v>441</v>
      </c>
      <c r="E39" s="9">
        <v>30</v>
      </c>
      <c r="F39" s="9">
        <f>SUMIFS(BOM用料!$N$5:$N$244,BOM用料!$E$5:$E$244,A39)</f>
        <v>49.44</v>
      </c>
      <c r="G39" s="9">
        <f>SUMIFS(入库明细!$O$5:$O$204,入库明细!$G$5:$G$204,A39,入库明细!$Q$5:$Q$204,"&lt;&gt;不合格",入库明细!$Q$5:$Q$204,"&lt;&gt;退货")</f>
        <v>0</v>
      </c>
      <c r="H39" s="9">
        <f>SUMIFS(出库明细!$O$5:$O$204,出库明细!$G$5:$G$204,A39)</f>
        <v>0</v>
      </c>
      <c r="I39" s="9">
        <f t="shared" si="0"/>
        <v>0</v>
      </c>
      <c r="J39" s="9">
        <f t="shared" si="1"/>
        <v>-49.44</v>
      </c>
      <c r="K39" s="6" t="str">
        <f t="shared" si="2"/>
        <v>低于安全库存</v>
      </c>
      <c r="L39" s="10">
        <f t="shared" si="3"/>
        <v>79.44</v>
      </c>
      <c r="M39" s="10">
        <v>20</v>
      </c>
      <c r="N39" s="6" t="s">
        <v>442</v>
      </c>
      <c r="O39" s="6" t="s">
        <v>49</v>
      </c>
    </row>
    <row r="40" ht="14.4" spans="1:15">
      <c r="A40" s="6" t="s">
        <v>496</v>
      </c>
      <c r="B40" s="6" t="s">
        <v>493</v>
      </c>
      <c r="C40" s="6" t="s">
        <v>20</v>
      </c>
      <c r="D40" s="6" t="s">
        <v>441</v>
      </c>
      <c r="E40" s="9">
        <v>30</v>
      </c>
      <c r="F40" s="9">
        <f>SUMIFS(BOM用料!$N$5:$N$244,BOM用料!$E$5:$E$244,A40)</f>
        <v>49.44</v>
      </c>
      <c r="G40" s="9">
        <f>SUMIFS(入库明细!$O$5:$O$204,入库明细!$G$5:$G$204,A40,入库明细!$Q$5:$Q$204,"&lt;&gt;不合格",入库明细!$Q$5:$Q$204,"&lt;&gt;退货")</f>
        <v>0</v>
      </c>
      <c r="H40" s="9">
        <f>SUMIFS(出库明细!$O$5:$O$204,出库明细!$G$5:$G$204,A40)</f>
        <v>0</v>
      </c>
      <c r="I40" s="9">
        <f t="shared" si="0"/>
        <v>0</v>
      </c>
      <c r="J40" s="9">
        <f t="shared" si="1"/>
        <v>-49.44</v>
      </c>
      <c r="K40" s="6" t="str">
        <f t="shared" si="2"/>
        <v>低于安全库存</v>
      </c>
      <c r="L40" s="10">
        <f t="shared" si="3"/>
        <v>79.44</v>
      </c>
      <c r="M40" s="10">
        <v>20</v>
      </c>
      <c r="N40" s="6" t="s">
        <v>442</v>
      </c>
      <c r="O40" s="6" t="s">
        <v>49</v>
      </c>
    </row>
    <row r="41" ht="14.4" spans="1:15">
      <c r="A41" s="6" t="s">
        <v>497</v>
      </c>
      <c r="B41" s="6" t="s">
        <v>161</v>
      </c>
      <c r="C41" s="6" t="s">
        <v>20</v>
      </c>
      <c r="D41" s="6" t="s">
        <v>441</v>
      </c>
      <c r="E41" s="9">
        <v>30</v>
      </c>
      <c r="F41" s="9">
        <f>SUMIFS(BOM用料!$N$5:$N$244,BOM用料!$E$5:$E$244,A41)</f>
        <v>7.725</v>
      </c>
      <c r="G41" s="9">
        <f>SUMIFS(入库明细!$O$5:$O$204,入库明细!$G$5:$G$204,A41,入库明细!$Q$5:$Q$204,"&lt;&gt;不合格",入库明细!$Q$5:$Q$204,"&lt;&gt;退货")</f>
        <v>0</v>
      </c>
      <c r="H41" s="9">
        <f>SUMIFS(出库明细!$O$5:$O$204,出库明细!$G$5:$G$204,A41)</f>
        <v>0</v>
      </c>
      <c r="I41" s="9">
        <f t="shared" si="0"/>
        <v>0</v>
      </c>
      <c r="J41" s="9">
        <f t="shared" si="1"/>
        <v>-7.725</v>
      </c>
      <c r="K41" s="6" t="str">
        <f t="shared" si="2"/>
        <v>低于安全库存</v>
      </c>
      <c r="L41" s="10">
        <f t="shared" si="3"/>
        <v>37.725</v>
      </c>
      <c r="M41" s="10">
        <v>20</v>
      </c>
      <c r="N41" s="6" t="s">
        <v>442</v>
      </c>
      <c r="O41" s="6" t="s">
        <v>49</v>
      </c>
    </row>
    <row r="42" ht="14.4" spans="1:15">
      <c r="A42" s="6" t="s">
        <v>498</v>
      </c>
      <c r="B42" s="6" t="s">
        <v>64</v>
      </c>
      <c r="C42" s="6" t="s">
        <v>21</v>
      </c>
      <c r="D42" s="6" t="s">
        <v>437</v>
      </c>
      <c r="E42" s="9">
        <v>80</v>
      </c>
      <c r="F42" s="9">
        <f>SUMIFS(BOM用料!$N$5:$N$244,BOM用料!$E$5:$E$244,A42)</f>
        <v>88.2</v>
      </c>
      <c r="G42" s="9">
        <f>SUMIFS(入库明细!$O$5:$O$204,入库明细!$G$5:$G$204,A42,入库明细!$Q$5:$Q$204,"&lt;&gt;不合格",入库明细!$Q$5:$Q$204,"&lt;&gt;退货")</f>
        <v>0</v>
      </c>
      <c r="H42" s="9">
        <f>SUMIFS(出库明细!$O$5:$O$204,出库明细!$G$5:$G$204,A42)</f>
        <v>0</v>
      </c>
      <c r="I42" s="9">
        <f t="shared" si="0"/>
        <v>0</v>
      </c>
      <c r="J42" s="9">
        <f t="shared" si="1"/>
        <v>-88.2</v>
      </c>
      <c r="K42" s="6" t="str">
        <f t="shared" si="2"/>
        <v>低于安全库存</v>
      </c>
      <c r="L42" s="10">
        <f t="shared" si="3"/>
        <v>168.2</v>
      </c>
      <c r="M42" s="10">
        <v>15</v>
      </c>
      <c r="N42" s="6" t="s">
        <v>438</v>
      </c>
      <c r="O42" s="6" t="s">
        <v>187</v>
      </c>
    </row>
    <row r="43" ht="14.4" spans="1:15">
      <c r="A43" s="6" t="s">
        <v>499</v>
      </c>
      <c r="B43" s="6" t="s">
        <v>500</v>
      </c>
      <c r="C43" s="6" t="s">
        <v>20</v>
      </c>
      <c r="D43" s="6" t="s">
        <v>441</v>
      </c>
      <c r="E43" s="9">
        <v>30</v>
      </c>
      <c r="F43" s="9">
        <f>SUMIFS(BOM用料!$N$5:$N$244,BOM用料!$E$5:$E$244,A43)</f>
        <v>634.48</v>
      </c>
      <c r="G43" s="9">
        <f>SUMIFS(入库明细!$O$5:$O$204,入库明细!$G$5:$G$204,A43,入库明细!$Q$5:$Q$204,"&lt;&gt;不合格",入库明细!$Q$5:$Q$204,"&lt;&gt;退货")</f>
        <v>0</v>
      </c>
      <c r="H43" s="9">
        <f>SUMIFS(出库明细!$O$5:$O$204,出库明细!$G$5:$G$204,A43)</f>
        <v>0</v>
      </c>
      <c r="I43" s="9">
        <f t="shared" si="0"/>
        <v>0</v>
      </c>
      <c r="J43" s="9">
        <f t="shared" si="1"/>
        <v>-634.48</v>
      </c>
      <c r="K43" s="6" t="str">
        <f t="shared" si="2"/>
        <v>低于安全库存</v>
      </c>
      <c r="L43" s="10">
        <f t="shared" si="3"/>
        <v>664.48</v>
      </c>
      <c r="M43" s="10">
        <v>20</v>
      </c>
      <c r="N43" s="6" t="s">
        <v>442</v>
      </c>
      <c r="O43" s="6" t="s">
        <v>187</v>
      </c>
    </row>
    <row r="44" ht="14.4" spans="1:15">
      <c r="A44" s="6" t="s">
        <v>501</v>
      </c>
      <c r="B44" s="6" t="s">
        <v>502</v>
      </c>
      <c r="C44" s="6" t="s">
        <v>21</v>
      </c>
      <c r="D44" s="6" t="s">
        <v>437</v>
      </c>
      <c r="E44" s="9">
        <v>80</v>
      </c>
      <c r="F44" s="9">
        <f>SUMIFS(BOM用料!$N$5:$N$244,BOM用料!$E$5:$E$244,A44)</f>
        <v>1785</v>
      </c>
      <c r="G44" s="9">
        <f>SUMIFS(入库明细!$O$5:$O$204,入库明细!$G$5:$G$204,A44,入库明细!$Q$5:$Q$204,"&lt;&gt;不合格",入库明细!$Q$5:$Q$204,"&lt;&gt;退货")</f>
        <v>0</v>
      </c>
      <c r="H44" s="9">
        <f>SUMIFS(出库明细!$O$5:$O$204,出库明细!$G$5:$G$204,A44)</f>
        <v>0</v>
      </c>
      <c r="I44" s="9">
        <f t="shared" si="0"/>
        <v>0</v>
      </c>
      <c r="J44" s="9">
        <f t="shared" si="1"/>
        <v>-1785</v>
      </c>
      <c r="K44" s="6" t="str">
        <f t="shared" si="2"/>
        <v>低于安全库存</v>
      </c>
      <c r="L44" s="10">
        <f t="shared" si="3"/>
        <v>1865</v>
      </c>
      <c r="M44" s="10">
        <v>15</v>
      </c>
      <c r="N44" s="6" t="s">
        <v>438</v>
      </c>
      <c r="O44" s="6" t="s">
        <v>49</v>
      </c>
    </row>
    <row r="45" ht="14.4" spans="1:15">
      <c r="A45" s="6" t="s">
        <v>503</v>
      </c>
      <c r="B45" s="6" t="s">
        <v>504</v>
      </c>
      <c r="C45" s="6" t="s">
        <v>21</v>
      </c>
      <c r="D45" s="6" t="s">
        <v>437</v>
      </c>
      <c r="E45" s="9">
        <v>80</v>
      </c>
      <c r="F45" s="9">
        <f>SUMIFS(BOM用料!$N$5:$N$244,BOM用料!$E$5:$E$244,A45)</f>
        <v>609</v>
      </c>
      <c r="G45" s="9">
        <f>SUMIFS(入库明细!$O$5:$O$204,入库明细!$G$5:$G$204,A45,入库明细!$Q$5:$Q$204,"&lt;&gt;不合格",入库明细!$Q$5:$Q$204,"&lt;&gt;退货")</f>
        <v>0</v>
      </c>
      <c r="H45" s="9">
        <f>SUMIFS(出库明细!$O$5:$O$204,出库明细!$G$5:$G$204,A45)</f>
        <v>0</v>
      </c>
      <c r="I45" s="9">
        <f t="shared" si="0"/>
        <v>0</v>
      </c>
      <c r="J45" s="9">
        <f t="shared" si="1"/>
        <v>-609</v>
      </c>
      <c r="K45" s="6" t="str">
        <f t="shared" si="2"/>
        <v>低于安全库存</v>
      </c>
      <c r="L45" s="10">
        <f t="shared" si="3"/>
        <v>689</v>
      </c>
      <c r="M45" s="10">
        <v>15</v>
      </c>
      <c r="N45" s="6" t="s">
        <v>438</v>
      </c>
      <c r="O45" s="6" t="s">
        <v>49</v>
      </c>
    </row>
    <row r="46" ht="14.4" spans="1:15">
      <c r="A46" s="6" t="s">
        <v>505</v>
      </c>
      <c r="B46" s="6" t="s">
        <v>502</v>
      </c>
      <c r="C46" s="6" t="s">
        <v>21</v>
      </c>
      <c r="D46" s="6" t="s">
        <v>437</v>
      </c>
      <c r="E46" s="9">
        <v>80</v>
      </c>
      <c r="F46" s="9">
        <f>SUMIFS(BOM用料!$N$5:$N$244,BOM用料!$E$5:$E$244,A46)</f>
        <v>764.4</v>
      </c>
      <c r="G46" s="9">
        <f>SUMIFS(入库明细!$O$5:$O$204,入库明细!$G$5:$G$204,A46,入库明细!$Q$5:$Q$204,"&lt;&gt;不合格",入库明细!$Q$5:$Q$204,"&lt;&gt;退货")</f>
        <v>0</v>
      </c>
      <c r="H46" s="9">
        <f>SUMIFS(出库明细!$O$5:$O$204,出库明细!$G$5:$G$204,A46)</f>
        <v>0</v>
      </c>
      <c r="I46" s="9">
        <f t="shared" si="0"/>
        <v>0</v>
      </c>
      <c r="J46" s="9">
        <f t="shared" si="1"/>
        <v>-764.4</v>
      </c>
      <c r="K46" s="6" t="str">
        <f t="shared" si="2"/>
        <v>低于安全库存</v>
      </c>
      <c r="L46" s="10">
        <f t="shared" si="3"/>
        <v>844.4</v>
      </c>
      <c r="M46" s="10">
        <v>15</v>
      </c>
      <c r="N46" s="6" t="s">
        <v>438</v>
      </c>
      <c r="O46" s="6" t="s">
        <v>49</v>
      </c>
    </row>
    <row r="47" ht="14.4" spans="1:15">
      <c r="A47" s="6" t="s">
        <v>506</v>
      </c>
      <c r="B47" s="6" t="s">
        <v>507</v>
      </c>
      <c r="C47" s="6" t="s">
        <v>21</v>
      </c>
      <c r="D47" s="6" t="s">
        <v>437</v>
      </c>
      <c r="E47" s="9">
        <v>80</v>
      </c>
      <c r="F47" s="9">
        <f>SUMIFS(BOM用料!$N$5:$N$244,BOM用料!$E$5:$E$244,A47)</f>
        <v>226.8</v>
      </c>
      <c r="G47" s="9">
        <f>SUMIFS(入库明细!$O$5:$O$204,入库明细!$G$5:$G$204,A47,入库明细!$Q$5:$Q$204,"&lt;&gt;不合格",入库明细!$Q$5:$Q$204,"&lt;&gt;退货")</f>
        <v>0</v>
      </c>
      <c r="H47" s="9">
        <f>SUMIFS(出库明细!$O$5:$O$204,出库明细!$G$5:$G$204,A47)</f>
        <v>0</v>
      </c>
      <c r="I47" s="9">
        <f t="shared" si="0"/>
        <v>0</v>
      </c>
      <c r="J47" s="9">
        <f t="shared" si="1"/>
        <v>-226.8</v>
      </c>
      <c r="K47" s="6" t="str">
        <f t="shared" si="2"/>
        <v>低于安全库存</v>
      </c>
      <c r="L47" s="10">
        <f t="shared" si="3"/>
        <v>306.8</v>
      </c>
      <c r="M47" s="10">
        <v>15</v>
      </c>
      <c r="N47" s="6" t="s">
        <v>438</v>
      </c>
      <c r="O47" s="6" t="s">
        <v>49</v>
      </c>
    </row>
    <row r="48" ht="14.4" spans="1:15">
      <c r="A48" s="6" t="s">
        <v>508</v>
      </c>
      <c r="B48" s="6" t="s">
        <v>509</v>
      </c>
      <c r="C48" s="6" t="s">
        <v>20</v>
      </c>
      <c r="D48" s="6" t="s">
        <v>441</v>
      </c>
      <c r="E48" s="9">
        <v>30</v>
      </c>
      <c r="F48" s="9">
        <f>SUMIFS(BOM用料!$N$5:$N$244,BOM用料!$E$5:$E$244,A48)</f>
        <v>749.84</v>
      </c>
      <c r="G48" s="9">
        <f>SUMIFS(入库明细!$O$5:$O$204,入库明细!$G$5:$G$204,A48,入库明细!$Q$5:$Q$204,"&lt;&gt;不合格",入库明细!$Q$5:$Q$204,"&lt;&gt;退货")</f>
        <v>0</v>
      </c>
      <c r="H48" s="9">
        <f>SUMIFS(出库明细!$O$5:$O$204,出库明细!$G$5:$G$204,A48)</f>
        <v>0</v>
      </c>
      <c r="I48" s="9">
        <f t="shared" si="0"/>
        <v>0</v>
      </c>
      <c r="J48" s="9">
        <f t="shared" si="1"/>
        <v>-749.84</v>
      </c>
      <c r="K48" s="6" t="str">
        <f t="shared" si="2"/>
        <v>低于安全库存</v>
      </c>
      <c r="L48" s="10">
        <f t="shared" si="3"/>
        <v>779.84</v>
      </c>
      <c r="M48" s="10">
        <v>20</v>
      </c>
      <c r="N48" s="6" t="s">
        <v>442</v>
      </c>
      <c r="O48" s="6" t="s">
        <v>49</v>
      </c>
    </row>
    <row r="49" ht="14.4" spans="1:15">
      <c r="A49" s="6" t="s">
        <v>510</v>
      </c>
      <c r="B49" s="6" t="s">
        <v>511</v>
      </c>
      <c r="C49" s="6" t="s">
        <v>21</v>
      </c>
      <c r="D49" s="6" t="s">
        <v>437</v>
      </c>
      <c r="E49" s="9">
        <v>80</v>
      </c>
      <c r="F49" s="9">
        <f>SUMIFS(BOM用料!$N$5:$N$244,BOM用料!$E$5:$E$244,A49)</f>
        <v>764.4</v>
      </c>
      <c r="G49" s="9">
        <f>SUMIFS(入库明细!$O$5:$O$204,入库明细!$G$5:$G$204,A49,入库明细!$Q$5:$Q$204,"&lt;&gt;不合格",入库明细!$Q$5:$Q$204,"&lt;&gt;退货")</f>
        <v>0</v>
      </c>
      <c r="H49" s="9">
        <f>SUMIFS(出库明细!$O$5:$O$204,出库明细!$G$5:$G$204,A49)</f>
        <v>0</v>
      </c>
      <c r="I49" s="9">
        <f t="shared" si="0"/>
        <v>0</v>
      </c>
      <c r="J49" s="9">
        <f t="shared" si="1"/>
        <v>-764.4</v>
      </c>
      <c r="K49" s="6" t="str">
        <f t="shared" si="2"/>
        <v>低于安全库存</v>
      </c>
      <c r="L49" s="10">
        <f t="shared" si="3"/>
        <v>844.4</v>
      </c>
      <c r="M49" s="10">
        <v>15</v>
      </c>
      <c r="N49" s="6" t="s">
        <v>438</v>
      </c>
      <c r="O49" s="6" t="s">
        <v>49</v>
      </c>
    </row>
    <row r="50" ht="14.4" spans="1:15">
      <c r="A50" s="6" t="s">
        <v>512</v>
      </c>
      <c r="B50" s="6" t="s">
        <v>513</v>
      </c>
      <c r="C50" s="6" t="s">
        <v>21</v>
      </c>
      <c r="D50" s="6" t="s">
        <v>437</v>
      </c>
      <c r="E50" s="9">
        <v>80</v>
      </c>
      <c r="F50" s="9">
        <f>SUMIFS(BOM用料!$N$5:$N$244,BOM用料!$E$5:$E$244,A50)</f>
        <v>23.1</v>
      </c>
      <c r="G50" s="9">
        <f>SUMIFS(入库明细!$O$5:$O$204,入库明细!$G$5:$G$204,A50,入库明细!$Q$5:$Q$204,"&lt;&gt;不合格",入库明细!$Q$5:$Q$204,"&lt;&gt;退货")</f>
        <v>0</v>
      </c>
      <c r="H50" s="9">
        <f>SUMIFS(出库明细!$O$5:$O$204,出库明细!$G$5:$G$204,A50)</f>
        <v>0</v>
      </c>
      <c r="I50" s="9">
        <f t="shared" si="0"/>
        <v>0</v>
      </c>
      <c r="J50" s="9">
        <f t="shared" si="1"/>
        <v>-23.1</v>
      </c>
      <c r="K50" s="6" t="str">
        <f t="shared" si="2"/>
        <v>低于安全库存</v>
      </c>
      <c r="L50" s="10">
        <f t="shared" si="3"/>
        <v>103.1</v>
      </c>
      <c r="M50" s="10">
        <v>15</v>
      </c>
      <c r="N50" s="6" t="s">
        <v>438</v>
      </c>
      <c r="O50" s="6" t="s">
        <v>49</v>
      </c>
    </row>
    <row r="51" ht="14.4" spans="1:15">
      <c r="A51" s="6" t="s">
        <v>514</v>
      </c>
      <c r="B51" s="6" t="s">
        <v>515</v>
      </c>
      <c r="C51" s="6" t="s">
        <v>20</v>
      </c>
      <c r="D51" s="6" t="s">
        <v>441</v>
      </c>
      <c r="E51" s="9">
        <v>30</v>
      </c>
      <c r="F51" s="9">
        <f>SUMIFS(BOM用料!$N$5:$N$244,BOM用料!$E$5:$E$244,A51)</f>
        <v>532.51</v>
      </c>
      <c r="G51" s="9">
        <f>SUMIFS(入库明细!$O$5:$O$204,入库明细!$G$5:$G$204,A51,入库明细!$Q$5:$Q$204,"&lt;&gt;不合格",入库明细!$Q$5:$Q$204,"&lt;&gt;退货")</f>
        <v>0</v>
      </c>
      <c r="H51" s="9">
        <f>SUMIFS(出库明细!$O$5:$O$204,出库明细!$G$5:$G$204,A51)</f>
        <v>0</v>
      </c>
      <c r="I51" s="9">
        <f t="shared" si="0"/>
        <v>0</v>
      </c>
      <c r="J51" s="9">
        <f t="shared" si="1"/>
        <v>-532.51</v>
      </c>
      <c r="K51" s="6" t="str">
        <f t="shared" si="2"/>
        <v>低于安全库存</v>
      </c>
      <c r="L51" s="10">
        <f t="shared" si="3"/>
        <v>562.51</v>
      </c>
      <c r="M51" s="10">
        <v>20</v>
      </c>
      <c r="N51" s="6" t="s">
        <v>442</v>
      </c>
      <c r="O51" s="6" t="s">
        <v>49</v>
      </c>
    </row>
    <row r="52" ht="14.4" spans="1:15">
      <c r="A52" s="6" t="s">
        <v>516</v>
      </c>
      <c r="B52" s="6" t="s">
        <v>513</v>
      </c>
      <c r="C52" s="6" t="s">
        <v>21</v>
      </c>
      <c r="D52" s="6" t="s">
        <v>437</v>
      </c>
      <c r="E52" s="9">
        <v>80</v>
      </c>
      <c r="F52" s="9">
        <f>SUMIFS(BOM用料!$N$5:$N$244,BOM用料!$E$5:$E$244,A52)</f>
        <v>31.5</v>
      </c>
      <c r="G52" s="9">
        <f>SUMIFS(入库明细!$O$5:$O$204,入库明细!$G$5:$G$204,A52,入库明细!$Q$5:$Q$204,"&lt;&gt;不合格",入库明细!$Q$5:$Q$204,"&lt;&gt;退货")</f>
        <v>0</v>
      </c>
      <c r="H52" s="9">
        <f>SUMIFS(出库明细!$O$5:$O$204,出库明细!$G$5:$G$204,A52)</f>
        <v>0</v>
      </c>
      <c r="I52" s="9">
        <f t="shared" si="0"/>
        <v>0</v>
      </c>
      <c r="J52" s="9">
        <f t="shared" si="1"/>
        <v>-31.5</v>
      </c>
      <c r="K52" s="6" t="str">
        <f t="shared" si="2"/>
        <v>低于安全库存</v>
      </c>
      <c r="L52" s="10">
        <f t="shared" si="3"/>
        <v>111.5</v>
      </c>
      <c r="M52" s="10">
        <v>15</v>
      </c>
      <c r="N52" s="6" t="s">
        <v>438</v>
      </c>
      <c r="O52" s="6" t="s">
        <v>49</v>
      </c>
    </row>
    <row r="53" ht="14.4" spans="1:15">
      <c r="A53" s="6" t="s">
        <v>517</v>
      </c>
      <c r="B53" s="6" t="s">
        <v>515</v>
      </c>
      <c r="C53" s="6" t="s">
        <v>20</v>
      </c>
      <c r="D53" s="6" t="s">
        <v>441</v>
      </c>
      <c r="E53" s="9">
        <v>30</v>
      </c>
      <c r="F53" s="9">
        <f>SUMIFS(BOM用料!$N$5:$N$244,BOM用料!$E$5:$E$244,A53)</f>
        <v>469.68</v>
      </c>
      <c r="G53" s="9">
        <f>SUMIFS(入库明细!$O$5:$O$204,入库明细!$G$5:$G$204,A53,入库明细!$Q$5:$Q$204,"&lt;&gt;不合格",入库明细!$Q$5:$Q$204,"&lt;&gt;退货")</f>
        <v>0</v>
      </c>
      <c r="H53" s="9">
        <f>SUMIFS(出库明细!$O$5:$O$204,出库明细!$G$5:$G$204,A53)</f>
        <v>0</v>
      </c>
      <c r="I53" s="9">
        <f t="shared" si="0"/>
        <v>0</v>
      </c>
      <c r="J53" s="9">
        <f t="shared" si="1"/>
        <v>-469.68</v>
      </c>
      <c r="K53" s="6" t="str">
        <f t="shared" si="2"/>
        <v>低于安全库存</v>
      </c>
      <c r="L53" s="10">
        <f t="shared" si="3"/>
        <v>499.68</v>
      </c>
      <c r="M53" s="10">
        <v>20</v>
      </c>
      <c r="N53" s="6" t="s">
        <v>442</v>
      </c>
      <c r="O53" s="6" t="s">
        <v>49</v>
      </c>
    </row>
    <row r="54" ht="14.4" spans="1:15">
      <c r="A54" s="6" t="s">
        <v>518</v>
      </c>
      <c r="B54" s="6" t="s">
        <v>513</v>
      </c>
      <c r="C54" s="6" t="s">
        <v>21</v>
      </c>
      <c r="D54" s="6" t="s">
        <v>437</v>
      </c>
      <c r="E54" s="9">
        <v>80</v>
      </c>
      <c r="F54" s="9">
        <f>SUMIFS(BOM用料!$N$5:$N$244,BOM用料!$E$5:$E$244,A54)</f>
        <v>129.696</v>
      </c>
      <c r="G54" s="9">
        <f>SUMIFS(入库明细!$O$5:$O$204,入库明细!$G$5:$G$204,A54,入库明细!$Q$5:$Q$204,"&lt;&gt;不合格",入库明细!$Q$5:$Q$204,"&lt;&gt;退货")</f>
        <v>0</v>
      </c>
      <c r="H54" s="9">
        <f>SUMIFS(出库明细!$O$5:$O$204,出库明细!$G$5:$G$204,A54)</f>
        <v>0</v>
      </c>
      <c r="I54" s="9">
        <f t="shared" si="0"/>
        <v>0</v>
      </c>
      <c r="J54" s="9">
        <f t="shared" si="1"/>
        <v>-129.696</v>
      </c>
      <c r="K54" s="6" t="str">
        <f t="shared" si="2"/>
        <v>低于安全库存</v>
      </c>
      <c r="L54" s="10">
        <f t="shared" si="3"/>
        <v>209.696</v>
      </c>
      <c r="M54" s="10">
        <v>15</v>
      </c>
      <c r="N54" s="6" t="s">
        <v>438</v>
      </c>
      <c r="O54" s="6" t="s">
        <v>49</v>
      </c>
    </row>
    <row r="55" ht="14.4" spans="1:15">
      <c r="A55" s="6" t="s">
        <v>519</v>
      </c>
      <c r="B55" s="6" t="s">
        <v>515</v>
      </c>
      <c r="C55" s="6" t="s">
        <v>20</v>
      </c>
      <c r="D55" s="6" t="s">
        <v>441</v>
      </c>
      <c r="E55" s="9">
        <v>30</v>
      </c>
      <c r="F55" s="9">
        <f>SUMIFS(BOM用料!$N$5:$N$244,BOM用料!$E$5:$E$244,A55)</f>
        <v>2417.2864</v>
      </c>
      <c r="G55" s="9">
        <f>SUMIFS(入库明细!$O$5:$O$204,入库明细!$G$5:$G$204,A55,入库明细!$Q$5:$Q$204,"&lt;&gt;不合格",入库明细!$Q$5:$Q$204,"&lt;&gt;退货")</f>
        <v>0</v>
      </c>
      <c r="H55" s="9">
        <f>SUMIFS(出库明细!$O$5:$O$204,出库明细!$G$5:$G$204,A55)</f>
        <v>0</v>
      </c>
      <c r="I55" s="9">
        <f t="shared" si="0"/>
        <v>0</v>
      </c>
      <c r="J55" s="9">
        <f t="shared" si="1"/>
        <v>-2417.2864</v>
      </c>
      <c r="K55" s="6" t="str">
        <f t="shared" si="2"/>
        <v>低于安全库存</v>
      </c>
      <c r="L55" s="10">
        <f t="shared" si="3"/>
        <v>2447.2864</v>
      </c>
      <c r="M55" s="10">
        <v>20</v>
      </c>
      <c r="N55" s="6" t="s">
        <v>442</v>
      </c>
      <c r="O55" s="6" t="s">
        <v>49</v>
      </c>
    </row>
    <row r="56" ht="14.4" spans="1:15">
      <c r="A56" s="6" t="s">
        <v>520</v>
      </c>
      <c r="B56" s="6" t="s">
        <v>521</v>
      </c>
      <c r="C56" s="6" t="s">
        <v>21</v>
      </c>
      <c r="D56" s="6" t="s">
        <v>437</v>
      </c>
      <c r="E56" s="9">
        <v>80</v>
      </c>
      <c r="F56" s="9">
        <f>SUMIFS(BOM用料!$N$5:$N$244,BOM用料!$E$5:$E$244,A56)</f>
        <v>2918.16</v>
      </c>
      <c r="G56" s="9">
        <f>SUMIFS(入库明细!$O$5:$O$204,入库明细!$G$5:$G$204,A56,入库明细!$Q$5:$Q$204,"&lt;&gt;不合格",入库明细!$Q$5:$Q$204,"&lt;&gt;退货")</f>
        <v>0</v>
      </c>
      <c r="H56" s="9">
        <f>SUMIFS(出库明细!$O$5:$O$204,出库明细!$G$5:$G$204,A56)</f>
        <v>0</v>
      </c>
      <c r="I56" s="9">
        <f t="shared" si="0"/>
        <v>0</v>
      </c>
      <c r="J56" s="9">
        <f t="shared" si="1"/>
        <v>-2918.16</v>
      </c>
      <c r="K56" s="6" t="str">
        <f t="shared" si="2"/>
        <v>低于安全库存</v>
      </c>
      <c r="L56" s="10">
        <f t="shared" si="3"/>
        <v>2998.16</v>
      </c>
      <c r="M56" s="10">
        <v>15</v>
      </c>
      <c r="N56" s="6" t="s">
        <v>438</v>
      </c>
      <c r="O56" s="6" t="s">
        <v>49</v>
      </c>
    </row>
    <row r="57" ht="14.4" spans="1:15">
      <c r="A57" s="6" t="s">
        <v>522</v>
      </c>
      <c r="B57" s="6" t="s">
        <v>523</v>
      </c>
      <c r="C57" s="6" t="s">
        <v>21</v>
      </c>
      <c r="D57" s="6" t="s">
        <v>437</v>
      </c>
      <c r="E57" s="9">
        <v>80</v>
      </c>
      <c r="F57" s="9">
        <f>SUMIFS(BOM用料!$N$5:$N$244,BOM用料!$E$5:$E$244,A57)</f>
        <v>81.06</v>
      </c>
      <c r="G57" s="9">
        <f>SUMIFS(入库明细!$O$5:$O$204,入库明细!$G$5:$G$204,A57,入库明细!$Q$5:$Q$204,"&lt;&gt;不合格",入库明细!$Q$5:$Q$204,"&lt;&gt;退货")</f>
        <v>0</v>
      </c>
      <c r="H57" s="9">
        <f>SUMIFS(出库明细!$O$5:$O$204,出库明细!$G$5:$G$204,A57)</f>
        <v>0</v>
      </c>
      <c r="I57" s="9">
        <f t="shared" si="0"/>
        <v>0</v>
      </c>
      <c r="J57" s="9">
        <f t="shared" si="1"/>
        <v>-81.06</v>
      </c>
      <c r="K57" s="6" t="str">
        <f t="shared" si="2"/>
        <v>低于安全库存</v>
      </c>
      <c r="L57" s="10">
        <f t="shared" si="3"/>
        <v>161.06</v>
      </c>
      <c r="M57" s="10">
        <v>15</v>
      </c>
      <c r="N57" s="6" t="s">
        <v>438</v>
      </c>
      <c r="O57" s="6" t="s">
        <v>49</v>
      </c>
    </row>
    <row r="58" ht="14.4" spans="1:15">
      <c r="A58" s="6" t="s">
        <v>524</v>
      </c>
      <c r="B58" s="6" t="s">
        <v>525</v>
      </c>
      <c r="C58" s="6" t="s">
        <v>21</v>
      </c>
      <c r="D58" s="6" t="s">
        <v>437</v>
      </c>
      <c r="E58" s="9">
        <v>80</v>
      </c>
      <c r="F58" s="9">
        <f>SUMIFS(BOM用料!$N$5:$N$244,BOM用料!$E$5:$E$244,A58)</f>
        <v>1964.27175</v>
      </c>
      <c r="G58" s="9">
        <f>SUMIFS(入库明细!$O$5:$O$204,入库明细!$G$5:$G$204,A58,入库明细!$Q$5:$Q$204,"&lt;&gt;不合格",入库明细!$Q$5:$Q$204,"&lt;&gt;退货")</f>
        <v>0</v>
      </c>
      <c r="H58" s="9">
        <f>SUMIFS(出库明细!$O$5:$O$204,出库明细!$G$5:$G$204,A58)</f>
        <v>0</v>
      </c>
      <c r="I58" s="9">
        <f t="shared" si="0"/>
        <v>0</v>
      </c>
      <c r="J58" s="9">
        <f t="shared" si="1"/>
        <v>-1964.27175</v>
      </c>
      <c r="K58" s="6" t="str">
        <f t="shared" si="2"/>
        <v>低于安全库存</v>
      </c>
      <c r="L58" s="10">
        <f t="shared" si="3"/>
        <v>2044.27175</v>
      </c>
      <c r="M58" s="10">
        <v>15</v>
      </c>
      <c r="N58" s="6" t="s">
        <v>438</v>
      </c>
      <c r="O58" s="6" t="s">
        <v>49</v>
      </c>
    </row>
    <row r="59" ht="14.4" spans="1:15">
      <c r="A59" s="6" t="s">
        <v>526</v>
      </c>
      <c r="B59" s="6" t="s">
        <v>527</v>
      </c>
      <c r="C59" s="6" t="s">
        <v>21</v>
      </c>
      <c r="D59" s="6" t="s">
        <v>437</v>
      </c>
      <c r="E59" s="9">
        <v>80</v>
      </c>
      <c r="F59" s="9">
        <f>SUMIFS(BOM用料!$N$5:$N$244,BOM用料!$E$5:$E$244,A59)</f>
        <v>45.8808</v>
      </c>
      <c r="G59" s="9">
        <f>SUMIFS(入库明细!$O$5:$O$204,入库明细!$G$5:$G$204,A59,入库明细!$Q$5:$Q$204,"&lt;&gt;不合格",入库明细!$Q$5:$Q$204,"&lt;&gt;退货")</f>
        <v>0</v>
      </c>
      <c r="H59" s="9">
        <f>SUMIFS(出库明细!$O$5:$O$204,出库明细!$G$5:$G$204,A59)</f>
        <v>0</v>
      </c>
      <c r="I59" s="9">
        <f t="shared" si="0"/>
        <v>0</v>
      </c>
      <c r="J59" s="9">
        <f t="shared" si="1"/>
        <v>-45.8808</v>
      </c>
      <c r="K59" s="6" t="str">
        <f t="shared" si="2"/>
        <v>低于安全库存</v>
      </c>
      <c r="L59" s="10">
        <f t="shared" si="3"/>
        <v>125.8808</v>
      </c>
      <c r="M59" s="10">
        <v>15</v>
      </c>
      <c r="N59" s="6" t="s">
        <v>438</v>
      </c>
      <c r="O59" s="6" t="s">
        <v>49</v>
      </c>
    </row>
    <row r="60" ht="14.4" spans="1:15">
      <c r="A60" s="6" t="s">
        <v>528</v>
      </c>
      <c r="B60" s="6" t="s">
        <v>529</v>
      </c>
      <c r="C60" s="6" t="s">
        <v>21</v>
      </c>
      <c r="D60" s="6" t="s">
        <v>437</v>
      </c>
      <c r="E60" s="9">
        <v>80</v>
      </c>
      <c r="F60" s="9">
        <f>SUMIFS(BOM用料!$N$5:$N$244,BOM用料!$E$5:$E$244,A60)</f>
        <v>1171.989</v>
      </c>
      <c r="G60" s="9">
        <f>SUMIFS(入库明细!$O$5:$O$204,入库明细!$G$5:$G$204,A60,入库明细!$Q$5:$Q$204,"&lt;&gt;不合格",入库明细!$Q$5:$Q$204,"&lt;&gt;退货")</f>
        <v>0</v>
      </c>
      <c r="H60" s="9">
        <f>SUMIFS(出库明细!$O$5:$O$204,出库明细!$G$5:$G$204,A60)</f>
        <v>0</v>
      </c>
      <c r="I60" s="9">
        <f t="shared" si="0"/>
        <v>0</v>
      </c>
      <c r="J60" s="9">
        <f t="shared" si="1"/>
        <v>-1171.989</v>
      </c>
      <c r="K60" s="6" t="str">
        <f t="shared" si="2"/>
        <v>低于安全库存</v>
      </c>
      <c r="L60" s="10">
        <f t="shared" si="3"/>
        <v>1251.989</v>
      </c>
      <c r="M60" s="10">
        <v>15</v>
      </c>
      <c r="N60" s="6" t="s">
        <v>438</v>
      </c>
      <c r="O60" s="6" t="s">
        <v>49</v>
      </c>
    </row>
    <row r="61" ht="14.4" spans="1:15">
      <c r="A61" s="6" t="s">
        <v>530</v>
      </c>
      <c r="B61" s="6" t="s">
        <v>531</v>
      </c>
      <c r="C61" s="6" t="s">
        <v>21</v>
      </c>
      <c r="D61" s="6" t="s">
        <v>437</v>
      </c>
      <c r="E61" s="9">
        <v>80</v>
      </c>
      <c r="F61" s="9">
        <f>SUMIFS(BOM用料!$N$5:$N$244,BOM用料!$E$5:$E$244,A61)</f>
        <v>165.2805</v>
      </c>
      <c r="G61" s="9">
        <f>SUMIFS(入库明细!$O$5:$O$204,入库明细!$G$5:$G$204,A61,入库明细!$Q$5:$Q$204,"&lt;&gt;不合格",入库明细!$Q$5:$Q$204,"&lt;&gt;退货")</f>
        <v>0</v>
      </c>
      <c r="H61" s="9">
        <f>SUMIFS(出库明细!$O$5:$O$204,出库明细!$G$5:$G$204,A61)</f>
        <v>0</v>
      </c>
      <c r="I61" s="9">
        <f t="shared" si="0"/>
        <v>0</v>
      </c>
      <c r="J61" s="9">
        <f t="shared" si="1"/>
        <v>-165.2805</v>
      </c>
      <c r="K61" s="6" t="str">
        <f t="shared" si="2"/>
        <v>低于安全库存</v>
      </c>
      <c r="L61" s="10">
        <f t="shared" si="3"/>
        <v>245.2805</v>
      </c>
      <c r="M61" s="10">
        <v>15</v>
      </c>
      <c r="N61" s="6" t="s">
        <v>438</v>
      </c>
      <c r="O61" s="6" t="s">
        <v>49</v>
      </c>
    </row>
    <row r="62" ht="14.4" spans="1:15">
      <c r="A62" s="6" t="s">
        <v>532</v>
      </c>
      <c r="B62" s="6" t="s">
        <v>533</v>
      </c>
      <c r="C62" s="6" t="s">
        <v>20</v>
      </c>
      <c r="D62" s="6" t="s">
        <v>441</v>
      </c>
      <c r="E62" s="9">
        <v>30</v>
      </c>
      <c r="F62" s="9">
        <f>SUMIFS(BOM用料!$N$5:$N$244,BOM用料!$E$5:$E$244,A62)</f>
        <v>227.5167</v>
      </c>
      <c r="G62" s="9">
        <f>SUMIFS(入库明细!$O$5:$O$204,入库明细!$G$5:$G$204,A62,入库明细!$Q$5:$Q$204,"&lt;&gt;不合格",入库明细!$Q$5:$Q$204,"&lt;&gt;退货")</f>
        <v>0</v>
      </c>
      <c r="H62" s="9">
        <f>SUMIFS(出库明细!$O$5:$O$204,出库明细!$G$5:$G$204,A62)</f>
        <v>0</v>
      </c>
      <c r="I62" s="9">
        <f t="shared" si="0"/>
        <v>0</v>
      </c>
      <c r="J62" s="9">
        <f t="shared" si="1"/>
        <v>-227.5167</v>
      </c>
      <c r="K62" s="6" t="str">
        <f t="shared" si="2"/>
        <v>低于安全库存</v>
      </c>
      <c r="L62" s="10">
        <f t="shared" si="3"/>
        <v>257.5167</v>
      </c>
      <c r="M62" s="10">
        <v>20</v>
      </c>
      <c r="N62" s="6" t="s">
        <v>442</v>
      </c>
      <c r="O62" s="6" t="s">
        <v>49</v>
      </c>
    </row>
    <row r="63" ht="14.4" spans="1:15">
      <c r="A63" s="6" t="s">
        <v>534</v>
      </c>
      <c r="B63" s="6" t="s">
        <v>535</v>
      </c>
      <c r="C63" s="6" t="s">
        <v>21</v>
      </c>
      <c r="D63" s="6" t="s">
        <v>437</v>
      </c>
      <c r="E63" s="9">
        <v>80</v>
      </c>
      <c r="F63" s="9">
        <f>SUMIFS(BOM用料!$N$5:$N$244,BOM用料!$E$5:$E$244,A63)</f>
        <v>45.4545</v>
      </c>
      <c r="G63" s="9">
        <f>SUMIFS(入库明细!$O$5:$O$204,入库明细!$G$5:$G$204,A63,入库明细!$Q$5:$Q$204,"&lt;&gt;不合格",入库明细!$Q$5:$Q$204,"&lt;&gt;退货")</f>
        <v>0</v>
      </c>
      <c r="H63" s="9">
        <f>SUMIFS(出库明细!$O$5:$O$204,出库明细!$G$5:$G$204,A63)</f>
        <v>0</v>
      </c>
      <c r="I63" s="9">
        <f t="shared" si="0"/>
        <v>0</v>
      </c>
      <c r="J63" s="9">
        <f t="shared" si="1"/>
        <v>-45.4545</v>
      </c>
      <c r="K63" s="6" t="str">
        <f t="shared" si="2"/>
        <v>低于安全库存</v>
      </c>
      <c r="L63" s="10">
        <f t="shared" si="3"/>
        <v>125.4545</v>
      </c>
      <c r="M63" s="10">
        <v>15</v>
      </c>
      <c r="N63" s="6" t="s">
        <v>438</v>
      </c>
      <c r="O63" s="6" t="s">
        <v>49</v>
      </c>
    </row>
    <row r="64" ht="14.4" spans="1:15">
      <c r="A64" s="6" t="s">
        <v>536</v>
      </c>
      <c r="B64" s="6" t="s">
        <v>537</v>
      </c>
      <c r="C64" s="6" t="s">
        <v>21</v>
      </c>
      <c r="D64" s="6" t="s">
        <v>437</v>
      </c>
      <c r="E64" s="9">
        <v>80</v>
      </c>
      <c r="F64" s="9">
        <f>SUMIFS(BOM用料!$N$5:$N$244,BOM用料!$E$5:$E$244,A64)</f>
        <v>10.4895</v>
      </c>
      <c r="G64" s="9">
        <f>SUMIFS(入库明细!$O$5:$O$204,入库明细!$G$5:$G$204,A64,入库明细!$Q$5:$Q$204,"&lt;&gt;不合格",入库明细!$Q$5:$Q$204,"&lt;&gt;退货")</f>
        <v>0</v>
      </c>
      <c r="H64" s="9">
        <f>SUMIFS(出库明细!$O$5:$O$204,出库明细!$G$5:$G$204,A64)</f>
        <v>0</v>
      </c>
      <c r="I64" s="9">
        <f t="shared" si="0"/>
        <v>0</v>
      </c>
      <c r="J64" s="9">
        <f t="shared" si="1"/>
        <v>-10.4895</v>
      </c>
      <c r="K64" s="6" t="str">
        <f t="shared" si="2"/>
        <v>低于安全库存</v>
      </c>
      <c r="L64" s="10">
        <f t="shared" si="3"/>
        <v>90.4895</v>
      </c>
      <c r="M64" s="10">
        <v>15</v>
      </c>
      <c r="N64" s="6" t="s">
        <v>438</v>
      </c>
      <c r="O64" s="6" t="s">
        <v>49</v>
      </c>
    </row>
    <row r="65" ht="14.4" spans="1:15">
      <c r="A65" s="6" t="s">
        <v>538</v>
      </c>
      <c r="B65" s="6" t="s">
        <v>529</v>
      </c>
      <c r="C65" s="6" t="s">
        <v>21</v>
      </c>
      <c r="D65" s="6" t="s">
        <v>437</v>
      </c>
      <c r="E65" s="9">
        <v>80</v>
      </c>
      <c r="F65" s="9">
        <f>SUMIFS(BOM用料!$N$5:$N$244,BOM用料!$E$5:$E$244,A65)</f>
        <v>1122.849</v>
      </c>
      <c r="G65" s="9">
        <f>SUMIFS(入库明细!$O$5:$O$204,入库明细!$G$5:$G$204,A65,入库明细!$Q$5:$Q$204,"&lt;&gt;不合格",入库明细!$Q$5:$Q$204,"&lt;&gt;退货")</f>
        <v>0</v>
      </c>
      <c r="H65" s="9">
        <f>SUMIFS(出库明细!$O$5:$O$204,出库明细!$G$5:$G$204,A65)</f>
        <v>0</v>
      </c>
      <c r="I65" s="9">
        <f t="shared" si="0"/>
        <v>0</v>
      </c>
      <c r="J65" s="9">
        <f t="shared" si="1"/>
        <v>-1122.849</v>
      </c>
      <c r="K65" s="6" t="str">
        <f t="shared" si="2"/>
        <v>低于安全库存</v>
      </c>
      <c r="L65" s="10">
        <f t="shared" si="3"/>
        <v>1202.849</v>
      </c>
      <c r="M65" s="10">
        <v>15</v>
      </c>
      <c r="N65" s="6" t="s">
        <v>438</v>
      </c>
      <c r="O65" s="6" t="s">
        <v>49</v>
      </c>
    </row>
    <row r="66" ht="14.4" spans="1:15">
      <c r="A66" s="6" t="s">
        <v>539</v>
      </c>
      <c r="B66" s="6" t="s">
        <v>531</v>
      </c>
      <c r="C66" s="6" t="s">
        <v>21</v>
      </c>
      <c r="D66" s="6" t="s">
        <v>437</v>
      </c>
      <c r="E66" s="9">
        <v>80</v>
      </c>
      <c r="F66" s="9">
        <f>SUMIFS(BOM用料!$N$5:$N$244,BOM用料!$E$5:$E$244,A66)</f>
        <v>158.3505</v>
      </c>
      <c r="G66" s="9">
        <f>SUMIFS(入库明细!$O$5:$O$204,入库明细!$G$5:$G$204,A66,入库明细!$Q$5:$Q$204,"&lt;&gt;不合格",入库明细!$Q$5:$Q$204,"&lt;&gt;退货")</f>
        <v>0</v>
      </c>
      <c r="H66" s="9">
        <f>SUMIFS(出库明细!$O$5:$O$204,出库明细!$G$5:$G$204,A66)</f>
        <v>0</v>
      </c>
      <c r="I66" s="9">
        <f t="shared" si="0"/>
        <v>0</v>
      </c>
      <c r="J66" s="9">
        <f t="shared" si="1"/>
        <v>-158.3505</v>
      </c>
      <c r="K66" s="6" t="str">
        <f t="shared" si="2"/>
        <v>低于安全库存</v>
      </c>
      <c r="L66" s="10">
        <f t="shared" si="3"/>
        <v>238.3505</v>
      </c>
      <c r="M66" s="10">
        <v>15</v>
      </c>
      <c r="N66" s="6" t="s">
        <v>438</v>
      </c>
      <c r="O66" s="6" t="s">
        <v>49</v>
      </c>
    </row>
    <row r="67" ht="14.4" spans="1:15">
      <c r="A67" s="6" t="s">
        <v>540</v>
      </c>
      <c r="B67" s="6" t="s">
        <v>541</v>
      </c>
      <c r="C67" s="6" t="s">
        <v>21</v>
      </c>
      <c r="D67" s="6" t="s">
        <v>437</v>
      </c>
      <c r="E67" s="9">
        <v>80</v>
      </c>
      <c r="F67" s="9">
        <f>SUMIFS(BOM用料!$N$5:$N$244,BOM用料!$E$5:$E$244,A67)</f>
        <v>967.974</v>
      </c>
      <c r="G67" s="9">
        <f>SUMIFS(入库明细!$O$5:$O$204,入库明细!$G$5:$G$204,A67,入库明细!$Q$5:$Q$204,"&lt;&gt;不合格",入库明细!$Q$5:$Q$204,"&lt;&gt;退货")</f>
        <v>0</v>
      </c>
      <c r="H67" s="9">
        <f>SUMIFS(出库明细!$O$5:$O$204,出库明细!$G$5:$G$204,A67)</f>
        <v>0</v>
      </c>
      <c r="I67" s="9">
        <f t="shared" si="0"/>
        <v>0</v>
      </c>
      <c r="J67" s="9">
        <f t="shared" si="1"/>
        <v>-967.974</v>
      </c>
      <c r="K67" s="6" t="str">
        <f t="shared" si="2"/>
        <v>低于安全库存</v>
      </c>
      <c r="L67" s="10">
        <f t="shared" si="3"/>
        <v>1047.974</v>
      </c>
      <c r="M67" s="10">
        <v>15</v>
      </c>
      <c r="N67" s="6" t="s">
        <v>438</v>
      </c>
      <c r="O67" s="6" t="s">
        <v>49</v>
      </c>
    </row>
    <row r="68" ht="14.4" spans="1:15">
      <c r="A68" s="6" t="s">
        <v>542</v>
      </c>
      <c r="B68" s="6" t="s">
        <v>543</v>
      </c>
      <c r="C68" s="6" t="s">
        <v>20</v>
      </c>
      <c r="D68" s="6" t="s">
        <v>441</v>
      </c>
      <c r="E68" s="9">
        <v>30</v>
      </c>
      <c r="F68" s="9">
        <f>SUMIFS(BOM用料!$N$5:$N$244,BOM用料!$E$5:$E$244,A68)</f>
        <v>29.98536</v>
      </c>
      <c r="G68" s="9">
        <f>SUMIFS(入库明细!$O$5:$O$204,入库明细!$G$5:$G$204,A68,入库明细!$Q$5:$Q$204,"&lt;&gt;不合格",入库明细!$Q$5:$Q$204,"&lt;&gt;退货")</f>
        <v>0</v>
      </c>
      <c r="H68" s="9">
        <f>SUMIFS(出库明细!$O$5:$O$204,出库明细!$G$5:$G$204,A68)</f>
        <v>0</v>
      </c>
      <c r="I68" s="9">
        <f t="shared" si="0"/>
        <v>0</v>
      </c>
      <c r="J68" s="9">
        <f t="shared" si="1"/>
        <v>-29.98536</v>
      </c>
      <c r="K68" s="6" t="str">
        <f t="shared" si="2"/>
        <v>低于安全库存</v>
      </c>
      <c r="L68" s="10">
        <f t="shared" si="3"/>
        <v>59.98536</v>
      </c>
      <c r="M68" s="10">
        <v>20</v>
      </c>
      <c r="N68" s="6" t="s">
        <v>442</v>
      </c>
      <c r="O68" s="6" t="s">
        <v>49</v>
      </c>
    </row>
    <row r="69" ht="14.4" spans="1:15">
      <c r="A69" s="6" t="s">
        <v>544</v>
      </c>
      <c r="B69" s="6" t="s">
        <v>545</v>
      </c>
      <c r="C69" s="6" t="s">
        <v>20</v>
      </c>
      <c r="D69" s="6" t="s">
        <v>441</v>
      </c>
      <c r="E69" s="9">
        <v>30</v>
      </c>
      <c r="F69" s="9">
        <f>SUMIFS(BOM用料!$N$5:$N$244,BOM用料!$E$5:$E$244,A69)</f>
        <v>8.74573</v>
      </c>
      <c r="G69" s="9">
        <f>SUMIFS(入库明细!$O$5:$O$204,入库明细!$G$5:$G$204,A69,入库明细!$Q$5:$Q$204,"&lt;&gt;不合格",入库明细!$Q$5:$Q$204,"&lt;&gt;退货")</f>
        <v>0</v>
      </c>
      <c r="H69" s="9">
        <f>SUMIFS(出库明细!$O$5:$O$204,出库明细!$G$5:$G$204,A69)</f>
        <v>0</v>
      </c>
      <c r="I69" s="9">
        <f t="shared" ref="I69:I132" si="4">G69-H69</f>
        <v>0</v>
      </c>
      <c r="J69" s="9">
        <f t="shared" ref="J69:J132" si="5">I69-F69</f>
        <v>-8.74573</v>
      </c>
      <c r="K69" s="6" t="str">
        <f t="shared" ref="K69:K132" si="6">IF(I69&lt;0,"负库存",IF(I69&lt;E69,"低于安全库存",IF(J69&lt;0,"订单缺料","正常")))</f>
        <v>低于安全库存</v>
      </c>
      <c r="L69" s="10">
        <f t="shared" ref="L69:L132" si="7">IF(K69="正常",0,MAX(E69+F69-I69,0))</f>
        <v>38.74573</v>
      </c>
      <c r="M69" s="10">
        <v>20</v>
      </c>
      <c r="N69" s="6" t="s">
        <v>442</v>
      </c>
      <c r="O69" s="6" t="s">
        <v>49</v>
      </c>
    </row>
    <row r="70" ht="14.4" spans="1:15">
      <c r="A70" s="6" t="s">
        <v>546</v>
      </c>
      <c r="B70" s="6" t="s">
        <v>547</v>
      </c>
      <c r="C70" s="6" t="s">
        <v>21</v>
      </c>
      <c r="D70" s="6" t="s">
        <v>437</v>
      </c>
      <c r="E70" s="9">
        <v>80</v>
      </c>
      <c r="F70" s="9">
        <f>SUMIFS(BOM用料!$N$5:$N$244,BOM用料!$E$5:$E$244,A70)</f>
        <v>967.974</v>
      </c>
      <c r="G70" s="9">
        <f>SUMIFS(入库明细!$O$5:$O$204,入库明细!$G$5:$G$204,A70,入库明细!$Q$5:$Q$204,"&lt;&gt;不合格",入库明细!$Q$5:$Q$204,"&lt;&gt;退货")</f>
        <v>0</v>
      </c>
      <c r="H70" s="9">
        <f>SUMIFS(出库明细!$O$5:$O$204,出库明细!$G$5:$G$204,A70)</f>
        <v>0</v>
      </c>
      <c r="I70" s="9">
        <f t="shared" si="4"/>
        <v>0</v>
      </c>
      <c r="J70" s="9">
        <f t="shared" si="5"/>
        <v>-967.974</v>
      </c>
      <c r="K70" s="6" t="str">
        <f t="shared" si="6"/>
        <v>低于安全库存</v>
      </c>
      <c r="L70" s="10">
        <f t="shared" si="7"/>
        <v>1047.974</v>
      </c>
      <c r="M70" s="10">
        <v>15</v>
      </c>
      <c r="N70" s="6" t="s">
        <v>438</v>
      </c>
      <c r="O70" s="6" t="s">
        <v>49</v>
      </c>
    </row>
    <row r="71" ht="14.4" spans="1:15">
      <c r="A71" s="6" t="s">
        <v>548</v>
      </c>
      <c r="B71" s="6" t="s">
        <v>549</v>
      </c>
      <c r="C71" s="6" t="s">
        <v>21</v>
      </c>
      <c r="D71" s="6" t="s">
        <v>437</v>
      </c>
      <c r="E71" s="9">
        <v>80</v>
      </c>
      <c r="F71" s="9">
        <f>SUMIFS(BOM用料!$N$5:$N$244,BOM用料!$E$5:$E$244,A71)</f>
        <v>967.974</v>
      </c>
      <c r="G71" s="9">
        <f>SUMIFS(入库明细!$O$5:$O$204,入库明细!$G$5:$G$204,A71,入库明细!$Q$5:$Q$204,"&lt;&gt;不合格",入库明细!$Q$5:$Q$204,"&lt;&gt;退货")</f>
        <v>0</v>
      </c>
      <c r="H71" s="9">
        <f>SUMIFS(出库明细!$O$5:$O$204,出库明细!$G$5:$G$204,A71)</f>
        <v>0</v>
      </c>
      <c r="I71" s="9">
        <f t="shared" si="4"/>
        <v>0</v>
      </c>
      <c r="J71" s="9">
        <f t="shared" si="5"/>
        <v>-967.974</v>
      </c>
      <c r="K71" s="6" t="str">
        <f t="shared" si="6"/>
        <v>低于安全库存</v>
      </c>
      <c r="L71" s="10">
        <f t="shared" si="7"/>
        <v>1047.974</v>
      </c>
      <c r="M71" s="10">
        <v>15</v>
      </c>
      <c r="N71" s="6" t="s">
        <v>438</v>
      </c>
      <c r="O71" s="6" t="s">
        <v>49</v>
      </c>
    </row>
    <row r="72" ht="14.4" spans="1:15">
      <c r="A72" s="6" t="s">
        <v>550</v>
      </c>
      <c r="B72" s="6" t="s">
        <v>541</v>
      </c>
      <c r="C72" s="6" t="s">
        <v>21</v>
      </c>
      <c r="D72" s="6" t="s">
        <v>437</v>
      </c>
      <c r="E72" s="9">
        <v>80</v>
      </c>
      <c r="F72" s="9">
        <f>SUMIFS(BOM用料!$N$5:$N$244,BOM用料!$E$5:$E$244,A72)</f>
        <v>56.28</v>
      </c>
      <c r="G72" s="9">
        <f>SUMIFS(入库明细!$O$5:$O$204,入库明细!$G$5:$G$204,A72,入库明细!$Q$5:$Q$204,"&lt;&gt;不合格",入库明细!$Q$5:$Q$204,"&lt;&gt;退货")</f>
        <v>0</v>
      </c>
      <c r="H72" s="9">
        <f>SUMIFS(出库明细!$O$5:$O$204,出库明细!$G$5:$G$204,A72)</f>
        <v>0</v>
      </c>
      <c r="I72" s="9">
        <f t="shared" si="4"/>
        <v>0</v>
      </c>
      <c r="J72" s="9">
        <f t="shared" si="5"/>
        <v>-56.28</v>
      </c>
      <c r="K72" s="6" t="str">
        <f t="shared" si="6"/>
        <v>低于安全库存</v>
      </c>
      <c r="L72" s="10">
        <f t="shared" si="7"/>
        <v>136.28</v>
      </c>
      <c r="M72" s="10">
        <v>15</v>
      </c>
      <c r="N72" s="6" t="s">
        <v>438</v>
      </c>
      <c r="O72" s="6" t="s">
        <v>49</v>
      </c>
    </row>
    <row r="73" ht="14.4" spans="1:15">
      <c r="A73" s="6" t="s">
        <v>551</v>
      </c>
      <c r="B73" s="6" t="s">
        <v>543</v>
      </c>
      <c r="C73" s="6" t="s">
        <v>20</v>
      </c>
      <c r="D73" s="6" t="s">
        <v>441</v>
      </c>
      <c r="E73" s="9">
        <v>30</v>
      </c>
      <c r="F73" s="9">
        <f>SUMIFS(BOM用料!$N$5:$N$244,BOM用料!$E$5:$E$244,A73)</f>
        <v>1.648</v>
      </c>
      <c r="G73" s="9">
        <f>SUMIFS(入库明细!$O$5:$O$204,入库明细!$G$5:$G$204,A73,入库明细!$Q$5:$Q$204,"&lt;&gt;不合格",入库明细!$Q$5:$Q$204,"&lt;&gt;退货")</f>
        <v>0</v>
      </c>
      <c r="H73" s="9">
        <f>SUMIFS(出库明细!$O$5:$O$204,出库明细!$G$5:$G$204,A73)</f>
        <v>0</v>
      </c>
      <c r="I73" s="9">
        <f t="shared" si="4"/>
        <v>0</v>
      </c>
      <c r="J73" s="9">
        <f t="shared" si="5"/>
        <v>-1.648</v>
      </c>
      <c r="K73" s="6" t="str">
        <f t="shared" si="6"/>
        <v>低于安全库存</v>
      </c>
      <c r="L73" s="10">
        <f t="shared" si="7"/>
        <v>31.648</v>
      </c>
      <c r="M73" s="10">
        <v>20</v>
      </c>
      <c r="N73" s="6" t="s">
        <v>442</v>
      </c>
      <c r="O73" s="6" t="s">
        <v>49</v>
      </c>
    </row>
    <row r="74" ht="14.4" spans="1:15">
      <c r="A74" s="6" t="s">
        <v>552</v>
      </c>
      <c r="B74" s="6" t="s">
        <v>545</v>
      </c>
      <c r="C74" s="6" t="s">
        <v>20</v>
      </c>
      <c r="D74" s="6" t="s">
        <v>441</v>
      </c>
      <c r="E74" s="9">
        <v>30</v>
      </c>
      <c r="F74" s="9">
        <f>SUMIFS(BOM用料!$N$5:$N$244,BOM用料!$E$5:$E$244,A74)</f>
        <v>1.5656</v>
      </c>
      <c r="G74" s="9">
        <f>SUMIFS(入库明细!$O$5:$O$204,入库明细!$G$5:$G$204,A74,入库明细!$Q$5:$Q$204,"&lt;&gt;不合格",入库明细!$Q$5:$Q$204,"&lt;&gt;退货")</f>
        <v>0</v>
      </c>
      <c r="H74" s="9">
        <f>SUMIFS(出库明细!$O$5:$O$204,出库明细!$G$5:$G$204,A74)</f>
        <v>0</v>
      </c>
      <c r="I74" s="9">
        <f t="shared" si="4"/>
        <v>0</v>
      </c>
      <c r="J74" s="9">
        <f t="shared" si="5"/>
        <v>-1.5656</v>
      </c>
      <c r="K74" s="6" t="str">
        <f t="shared" si="6"/>
        <v>低于安全库存</v>
      </c>
      <c r="L74" s="10">
        <f t="shared" si="7"/>
        <v>31.5656</v>
      </c>
      <c r="M74" s="10">
        <v>20</v>
      </c>
      <c r="N74" s="6" t="s">
        <v>442</v>
      </c>
      <c r="O74" s="6" t="s">
        <v>49</v>
      </c>
    </row>
    <row r="75" ht="14.4" spans="1:15">
      <c r="A75" s="6" t="s">
        <v>553</v>
      </c>
      <c r="B75" s="6" t="s">
        <v>554</v>
      </c>
      <c r="C75" s="6" t="s">
        <v>21</v>
      </c>
      <c r="D75" s="6" t="s">
        <v>437</v>
      </c>
      <c r="E75" s="9">
        <v>80</v>
      </c>
      <c r="F75" s="9">
        <f>SUMIFS(BOM用料!$N$5:$N$244,BOM用料!$E$5:$E$244,A75)</f>
        <v>56.28</v>
      </c>
      <c r="G75" s="9">
        <f>SUMIFS(入库明细!$O$5:$O$204,入库明细!$G$5:$G$204,A75,入库明细!$Q$5:$Q$204,"&lt;&gt;不合格",入库明细!$Q$5:$Q$204,"&lt;&gt;退货")</f>
        <v>0</v>
      </c>
      <c r="H75" s="9">
        <f>SUMIFS(出库明细!$O$5:$O$204,出库明细!$G$5:$G$204,A75)</f>
        <v>0</v>
      </c>
      <c r="I75" s="9">
        <f t="shared" si="4"/>
        <v>0</v>
      </c>
      <c r="J75" s="9">
        <f t="shared" si="5"/>
        <v>-56.28</v>
      </c>
      <c r="K75" s="6" t="str">
        <f t="shared" si="6"/>
        <v>低于安全库存</v>
      </c>
      <c r="L75" s="10">
        <f t="shared" si="7"/>
        <v>136.28</v>
      </c>
      <c r="M75" s="10">
        <v>15</v>
      </c>
      <c r="N75" s="6" t="s">
        <v>438</v>
      </c>
      <c r="O75" s="6" t="s">
        <v>49</v>
      </c>
    </row>
    <row r="76" ht="14.4" spans="1:15">
      <c r="A76" s="6" t="s">
        <v>555</v>
      </c>
      <c r="B76" s="6" t="s">
        <v>556</v>
      </c>
      <c r="C76" s="6" t="s">
        <v>21</v>
      </c>
      <c r="D76" s="6" t="s">
        <v>437</v>
      </c>
      <c r="E76" s="9">
        <v>80</v>
      </c>
      <c r="F76" s="9">
        <f>SUMIFS(BOM用料!$N$5:$N$244,BOM用料!$E$5:$E$244,A76)</f>
        <v>56.28</v>
      </c>
      <c r="G76" s="9">
        <f>SUMIFS(入库明细!$O$5:$O$204,入库明细!$G$5:$G$204,A76,入库明细!$Q$5:$Q$204,"&lt;&gt;不合格",入库明细!$Q$5:$Q$204,"&lt;&gt;退货")</f>
        <v>0</v>
      </c>
      <c r="H76" s="9">
        <f>SUMIFS(出库明细!$O$5:$O$204,出库明细!$G$5:$G$204,A76)</f>
        <v>0</v>
      </c>
      <c r="I76" s="9">
        <f t="shared" si="4"/>
        <v>0</v>
      </c>
      <c r="J76" s="9">
        <f t="shared" si="5"/>
        <v>-56.28</v>
      </c>
      <c r="K76" s="6" t="str">
        <f t="shared" si="6"/>
        <v>低于安全库存</v>
      </c>
      <c r="L76" s="10">
        <f t="shared" si="7"/>
        <v>136.28</v>
      </c>
      <c r="M76" s="10">
        <v>15</v>
      </c>
      <c r="N76" s="6" t="s">
        <v>438</v>
      </c>
      <c r="O76" s="6" t="s">
        <v>49</v>
      </c>
    </row>
    <row r="77" ht="14.4" spans="1:15">
      <c r="A77" s="6" t="s">
        <v>557</v>
      </c>
      <c r="B77" s="6" t="s">
        <v>541</v>
      </c>
      <c r="C77" s="6" t="s">
        <v>21</v>
      </c>
      <c r="D77" s="6" t="s">
        <v>437</v>
      </c>
      <c r="E77" s="9">
        <v>80</v>
      </c>
      <c r="F77" s="9">
        <f>SUMIFS(BOM用料!$N$5:$N$244,BOM用料!$E$5:$E$244,A77)</f>
        <v>289.737</v>
      </c>
      <c r="G77" s="9">
        <f>SUMIFS(入库明细!$O$5:$O$204,入库明细!$G$5:$G$204,A77,入库明细!$Q$5:$Q$204,"&lt;&gt;不合格",入库明细!$Q$5:$Q$204,"&lt;&gt;退货")</f>
        <v>0</v>
      </c>
      <c r="H77" s="9">
        <f>SUMIFS(出库明细!$O$5:$O$204,出库明细!$G$5:$G$204,A77)</f>
        <v>0</v>
      </c>
      <c r="I77" s="9">
        <f t="shared" si="4"/>
        <v>0</v>
      </c>
      <c r="J77" s="9">
        <f t="shared" si="5"/>
        <v>-289.737</v>
      </c>
      <c r="K77" s="6" t="str">
        <f t="shared" si="6"/>
        <v>低于安全库存</v>
      </c>
      <c r="L77" s="10">
        <f t="shared" si="7"/>
        <v>369.737</v>
      </c>
      <c r="M77" s="10">
        <v>15</v>
      </c>
      <c r="N77" s="6" t="s">
        <v>438</v>
      </c>
      <c r="O77" s="6" t="s">
        <v>49</v>
      </c>
    </row>
    <row r="78" ht="14.4" spans="1:15">
      <c r="A78" s="6" t="s">
        <v>558</v>
      </c>
      <c r="B78" s="6" t="s">
        <v>559</v>
      </c>
      <c r="C78" s="6" t="s">
        <v>21</v>
      </c>
      <c r="D78" s="6" t="s">
        <v>437</v>
      </c>
      <c r="E78" s="9">
        <v>80</v>
      </c>
      <c r="F78" s="9">
        <f>SUMIFS(BOM用料!$N$5:$N$244,BOM用料!$E$5:$E$244,A78)</f>
        <v>11.907</v>
      </c>
      <c r="G78" s="9">
        <f>SUMIFS(入库明细!$O$5:$O$204,入库明细!$G$5:$G$204,A78,入库明细!$Q$5:$Q$204,"&lt;&gt;不合格",入库明细!$Q$5:$Q$204,"&lt;&gt;退货")</f>
        <v>0</v>
      </c>
      <c r="H78" s="9">
        <f>SUMIFS(出库明细!$O$5:$O$204,出库明细!$G$5:$G$204,A78)</f>
        <v>0</v>
      </c>
      <c r="I78" s="9">
        <f t="shared" si="4"/>
        <v>0</v>
      </c>
      <c r="J78" s="9">
        <f t="shared" si="5"/>
        <v>-11.907</v>
      </c>
      <c r="K78" s="6" t="str">
        <f t="shared" si="6"/>
        <v>低于安全库存</v>
      </c>
      <c r="L78" s="10">
        <f t="shared" si="7"/>
        <v>91.907</v>
      </c>
      <c r="M78" s="10">
        <v>15</v>
      </c>
      <c r="N78" s="6" t="s">
        <v>438</v>
      </c>
      <c r="O78" s="6" t="s">
        <v>49</v>
      </c>
    </row>
    <row r="79" ht="14.4" spans="1:15">
      <c r="A79" s="6" t="s">
        <v>560</v>
      </c>
      <c r="B79" s="6" t="s">
        <v>541</v>
      </c>
      <c r="C79" s="6" t="s">
        <v>21</v>
      </c>
      <c r="D79" s="6" t="s">
        <v>437</v>
      </c>
      <c r="E79" s="9">
        <v>80</v>
      </c>
      <c r="F79" s="9">
        <f>SUMIFS(BOM用料!$N$5:$N$244,BOM用料!$E$5:$E$244,A79)</f>
        <v>59.3775</v>
      </c>
      <c r="G79" s="9">
        <f>SUMIFS(入库明细!$O$5:$O$204,入库明细!$G$5:$G$204,A79,入库明细!$Q$5:$Q$204,"&lt;&gt;不合格",入库明细!$Q$5:$Q$204,"&lt;&gt;退货")</f>
        <v>0</v>
      </c>
      <c r="H79" s="9">
        <f>SUMIFS(出库明细!$O$5:$O$204,出库明细!$G$5:$G$204,A79)</f>
        <v>0</v>
      </c>
      <c r="I79" s="9">
        <f t="shared" si="4"/>
        <v>0</v>
      </c>
      <c r="J79" s="9">
        <f t="shared" si="5"/>
        <v>-59.3775</v>
      </c>
      <c r="K79" s="6" t="str">
        <f t="shared" si="6"/>
        <v>低于安全库存</v>
      </c>
      <c r="L79" s="10">
        <f t="shared" si="7"/>
        <v>139.3775</v>
      </c>
      <c r="M79" s="10">
        <v>15</v>
      </c>
      <c r="N79" s="6" t="s">
        <v>438</v>
      </c>
      <c r="O79" s="6" t="s">
        <v>49</v>
      </c>
    </row>
    <row r="80" ht="14.4" spans="1:15">
      <c r="A80" s="6" t="s">
        <v>561</v>
      </c>
      <c r="B80" s="6" t="s">
        <v>559</v>
      </c>
      <c r="C80" s="6" t="s">
        <v>21</v>
      </c>
      <c r="D80" s="6" t="s">
        <v>437</v>
      </c>
      <c r="E80" s="9">
        <v>80</v>
      </c>
      <c r="F80" s="9">
        <f>SUMIFS(BOM用料!$N$5:$N$244,BOM用料!$E$5:$E$244,A80)</f>
        <v>2.7405</v>
      </c>
      <c r="G80" s="9">
        <f>SUMIFS(入库明细!$O$5:$O$204,入库明细!$G$5:$G$204,A80,入库明细!$Q$5:$Q$204,"&lt;&gt;不合格",入库明细!$Q$5:$Q$204,"&lt;&gt;退货")</f>
        <v>0</v>
      </c>
      <c r="H80" s="9">
        <f>SUMIFS(出库明细!$O$5:$O$204,出库明细!$G$5:$G$204,A80)</f>
        <v>0</v>
      </c>
      <c r="I80" s="9">
        <f t="shared" si="4"/>
        <v>0</v>
      </c>
      <c r="J80" s="9">
        <f t="shared" si="5"/>
        <v>-2.7405</v>
      </c>
      <c r="K80" s="6" t="str">
        <f t="shared" si="6"/>
        <v>低于安全库存</v>
      </c>
      <c r="L80" s="10">
        <f t="shared" si="7"/>
        <v>82.7405</v>
      </c>
      <c r="M80" s="10">
        <v>15</v>
      </c>
      <c r="N80" s="6" t="s">
        <v>438</v>
      </c>
      <c r="O80" s="6" t="s">
        <v>49</v>
      </c>
    </row>
    <row r="81" ht="14.4" spans="1:15">
      <c r="A81" s="6" t="s">
        <v>562</v>
      </c>
      <c r="B81" s="6" t="s">
        <v>541</v>
      </c>
      <c r="C81" s="6" t="s">
        <v>21</v>
      </c>
      <c r="D81" s="6" t="s">
        <v>437</v>
      </c>
      <c r="E81" s="9">
        <v>80</v>
      </c>
      <c r="F81" s="9">
        <f>SUMIFS(BOM用料!$N$5:$N$244,BOM用料!$E$5:$E$244,A81)</f>
        <v>2075.85</v>
      </c>
      <c r="G81" s="9">
        <f>SUMIFS(入库明细!$O$5:$O$204,入库明细!$G$5:$G$204,A81,入库明细!$Q$5:$Q$204,"&lt;&gt;不合格",入库明细!$Q$5:$Q$204,"&lt;&gt;退货")</f>
        <v>0</v>
      </c>
      <c r="H81" s="9">
        <f>SUMIFS(出库明细!$O$5:$O$204,出库明细!$G$5:$G$204,A81)</f>
        <v>0</v>
      </c>
      <c r="I81" s="9">
        <f t="shared" si="4"/>
        <v>0</v>
      </c>
      <c r="J81" s="9">
        <f t="shared" si="5"/>
        <v>-2075.85</v>
      </c>
      <c r="K81" s="6" t="str">
        <f t="shared" si="6"/>
        <v>低于安全库存</v>
      </c>
      <c r="L81" s="10">
        <f t="shared" si="7"/>
        <v>2155.85</v>
      </c>
      <c r="M81" s="10">
        <v>15</v>
      </c>
      <c r="N81" s="6" t="s">
        <v>438</v>
      </c>
      <c r="O81" s="6" t="s">
        <v>49</v>
      </c>
    </row>
    <row r="82" ht="14.4" spans="1:15">
      <c r="A82" s="6" t="s">
        <v>563</v>
      </c>
      <c r="B82" s="6" t="s">
        <v>564</v>
      </c>
      <c r="C82" s="6" t="s">
        <v>20</v>
      </c>
      <c r="D82" s="6" t="s">
        <v>441</v>
      </c>
      <c r="E82" s="9">
        <v>30</v>
      </c>
      <c r="F82" s="9">
        <f>SUMIFS(BOM用料!$N$5:$N$244,BOM用料!$E$5:$E$244,A82)</f>
        <v>128.9663</v>
      </c>
      <c r="G82" s="9">
        <f>SUMIFS(入库明细!$O$5:$O$204,入库明细!$G$5:$G$204,A82,入库明细!$Q$5:$Q$204,"&lt;&gt;不合格",入库明细!$Q$5:$Q$204,"&lt;&gt;退货")</f>
        <v>0</v>
      </c>
      <c r="H82" s="9">
        <f>SUMIFS(出库明细!$O$5:$O$204,出库明细!$G$5:$G$204,A82)</f>
        <v>0</v>
      </c>
      <c r="I82" s="9">
        <f t="shared" si="4"/>
        <v>0</v>
      </c>
      <c r="J82" s="9">
        <f t="shared" si="5"/>
        <v>-128.9663</v>
      </c>
      <c r="K82" s="6" t="str">
        <f t="shared" si="6"/>
        <v>低于安全库存</v>
      </c>
      <c r="L82" s="10">
        <f t="shared" si="7"/>
        <v>158.9663</v>
      </c>
      <c r="M82" s="10">
        <v>20</v>
      </c>
      <c r="N82" s="6" t="s">
        <v>442</v>
      </c>
      <c r="O82" s="6" t="s">
        <v>49</v>
      </c>
    </row>
    <row r="83" ht="14.4" spans="1:15">
      <c r="A83" s="6" t="s">
        <v>565</v>
      </c>
      <c r="B83" s="6" t="s">
        <v>545</v>
      </c>
      <c r="C83" s="6" t="s">
        <v>20</v>
      </c>
      <c r="D83" s="6" t="s">
        <v>441</v>
      </c>
      <c r="E83" s="9">
        <v>30</v>
      </c>
      <c r="F83" s="9">
        <f>SUMIFS(BOM用料!$N$5:$N$244,BOM用料!$E$5:$E$244,A83)</f>
        <v>40.7262</v>
      </c>
      <c r="G83" s="9">
        <f>SUMIFS(入库明细!$O$5:$O$204,入库明细!$G$5:$G$204,A83,入库明细!$Q$5:$Q$204,"&lt;&gt;不合格",入库明细!$Q$5:$Q$204,"&lt;&gt;退货")</f>
        <v>0</v>
      </c>
      <c r="H83" s="9">
        <f>SUMIFS(出库明细!$O$5:$O$204,出库明细!$G$5:$G$204,A83)</f>
        <v>0</v>
      </c>
      <c r="I83" s="9">
        <f t="shared" si="4"/>
        <v>0</v>
      </c>
      <c r="J83" s="9">
        <f t="shared" si="5"/>
        <v>-40.7262</v>
      </c>
      <c r="K83" s="6" t="str">
        <f t="shared" si="6"/>
        <v>低于安全库存</v>
      </c>
      <c r="L83" s="10">
        <f t="shared" si="7"/>
        <v>70.7262</v>
      </c>
      <c r="M83" s="10">
        <v>20</v>
      </c>
      <c r="N83" s="6" t="s">
        <v>442</v>
      </c>
      <c r="O83" s="6" t="s">
        <v>49</v>
      </c>
    </row>
    <row r="84" ht="14.4" spans="1:15">
      <c r="A84" s="6" t="s">
        <v>566</v>
      </c>
      <c r="B84" s="6" t="s">
        <v>567</v>
      </c>
      <c r="C84" s="6" t="s">
        <v>21</v>
      </c>
      <c r="D84" s="6" t="s">
        <v>437</v>
      </c>
      <c r="E84" s="9">
        <v>80</v>
      </c>
      <c r="F84" s="9">
        <f>SUMIFS(BOM用料!$N$5:$N$244,BOM用料!$E$5:$E$244,A84)</f>
        <v>2075.85</v>
      </c>
      <c r="G84" s="9">
        <f>SUMIFS(入库明细!$O$5:$O$204,入库明细!$G$5:$G$204,A84,入库明细!$Q$5:$Q$204,"&lt;&gt;不合格",入库明细!$Q$5:$Q$204,"&lt;&gt;退货")</f>
        <v>0</v>
      </c>
      <c r="H84" s="9">
        <f>SUMIFS(出库明细!$O$5:$O$204,出库明细!$G$5:$G$204,A84)</f>
        <v>0</v>
      </c>
      <c r="I84" s="9">
        <f t="shared" si="4"/>
        <v>0</v>
      </c>
      <c r="J84" s="9">
        <f t="shared" si="5"/>
        <v>-2075.85</v>
      </c>
      <c r="K84" s="6" t="str">
        <f t="shared" si="6"/>
        <v>低于安全库存</v>
      </c>
      <c r="L84" s="10">
        <f t="shared" si="7"/>
        <v>2155.85</v>
      </c>
      <c r="M84" s="10">
        <v>15</v>
      </c>
      <c r="N84" s="6" t="s">
        <v>438</v>
      </c>
      <c r="O84" s="6" t="s">
        <v>49</v>
      </c>
    </row>
    <row r="85" ht="14.4" spans="1:15">
      <c r="A85" s="6" t="s">
        <v>568</v>
      </c>
      <c r="B85" s="6" t="s">
        <v>569</v>
      </c>
      <c r="C85" s="6" t="s">
        <v>21</v>
      </c>
      <c r="D85" s="6" t="s">
        <v>437</v>
      </c>
      <c r="E85" s="9">
        <v>80</v>
      </c>
      <c r="F85" s="9">
        <f>SUMIFS(BOM用料!$N$5:$N$244,BOM用料!$E$5:$E$244,A85)</f>
        <v>2075.85</v>
      </c>
      <c r="G85" s="9">
        <f>SUMIFS(入库明细!$O$5:$O$204,入库明细!$G$5:$G$204,A85,入库明细!$Q$5:$Q$204,"&lt;&gt;不合格",入库明细!$Q$5:$Q$204,"&lt;&gt;退货")</f>
        <v>0</v>
      </c>
      <c r="H85" s="9">
        <f>SUMIFS(出库明细!$O$5:$O$204,出库明细!$G$5:$G$204,A85)</f>
        <v>0</v>
      </c>
      <c r="I85" s="9">
        <f t="shared" si="4"/>
        <v>0</v>
      </c>
      <c r="J85" s="9">
        <f t="shared" si="5"/>
        <v>-2075.85</v>
      </c>
      <c r="K85" s="6" t="str">
        <f t="shared" si="6"/>
        <v>低于安全库存</v>
      </c>
      <c r="L85" s="10">
        <f t="shared" si="7"/>
        <v>2155.85</v>
      </c>
      <c r="M85" s="10">
        <v>15</v>
      </c>
      <c r="N85" s="6" t="s">
        <v>438</v>
      </c>
      <c r="O85" s="6" t="s">
        <v>49</v>
      </c>
    </row>
    <row r="86" ht="14.4" spans="1:15">
      <c r="A86" s="6" t="s">
        <v>570</v>
      </c>
      <c r="B86" s="6" t="s">
        <v>541</v>
      </c>
      <c r="C86" s="6" t="s">
        <v>21</v>
      </c>
      <c r="D86" s="6" t="s">
        <v>437</v>
      </c>
      <c r="E86" s="9">
        <v>80</v>
      </c>
      <c r="F86" s="9">
        <f>SUMIFS(BOM用料!$N$5:$N$244,BOM用料!$E$5:$E$244,A86)</f>
        <v>100.5795</v>
      </c>
      <c r="G86" s="9">
        <f>SUMIFS(入库明细!$O$5:$O$204,入库明细!$G$5:$G$204,A86,入库明细!$Q$5:$Q$204,"&lt;&gt;不合格",入库明细!$Q$5:$Q$204,"&lt;&gt;退货")</f>
        <v>0</v>
      </c>
      <c r="H86" s="9">
        <f>SUMIFS(出库明细!$O$5:$O$204,出库明细!$G$5:$G$204,A86)</f>
        <v>0</v>
      </c>
      <c r="I86" s="9">
        <f t="shared" si="4"/>
        <v>0</v>
      </c>
      <c r="J86" s="9">
        <f t="shared" si="5"/>
        <v>-100.5795</v>
      </c>
      <c r="K86" s="6" t="str">
        <f t="shared" si="6"/>
        <v>低于安全库存</v>
      </c>
      <c r="L86" s="10">
        <f t="shared" si="7"/>
        <v>180.5795</v>
      </c>
      <c r="M86" s="10">
        <v>15</v>
      </c>
      <c r="N86" s="6" t="s">
        <v>438</v>
      </c>
      <c r="O86" s="6" t="s">
        <v>49</v>
      </c>
    </row>
    <row r="87" ht="14.4" spans="1:15">
      <c r="A87" s="6" t="s">
        <v>571</v>
      </c>
      <c r="B87" s="6" t="s">
        <v>564</v>
      </c>
      <c r="C87" s="6" t="s">
        <v>20</v>
      </c>
      <c r="D87" s="6" t="s">
        <v>441</v>
      </c>
      <c r="E87" s="9">
        <v>30</v>
      </c>
      <c r="F87" s="9">
        <f>SUMIFS(BOM用料!$N$5:$N$244,BOM用料!$E$5:$E$244,A87)</f>
        <v>7.21412</v>
      </c>
      <c r="G87" s="9">
        <f>SUMIFS(入库明细!$O$5:$O$204,入库明细!$G$5:$G$204,A87,入库明细!$Q$5:$Q$204,"&lt;&gt;不合格",入库明细!$Q$5:$Q$204,"&lt;&gt;退货")</f>
        <v>0</v>
      </c>
      <c r="H87" s="9">
        <f>SUMIFS(出库明细!$O$5:$O$204,出库明细!$G$5:$G$204,A87)</f>
        <v>0</v>
      </c>
      <c r="I87" s="9">
        <f t="shared" si="4"/>
        <v>0</v>
      </c>
      <c r="J87" s="9">
        <f t="shared" si="5"/>
        <v>-7.21412</v>
      </c>
      <c r="K87" s="6" t="str">
        <f t="shared" si="6"/>
        <v>低于安全库存</v>
      </c>
      <c r="L87" s="10">
        <f t="shared" si="7"/>
        <v>37.21412</v>
      </c>
      <c r="M87" s="10">
        <v>20</v>
      </c>
      <c r="N87" s="6" t="s">
        <v>442</v>
      </c>
      <c r="O87" s="6" t="s">
        <v>49</v>
      </c>
    </row>
    <row r="88" ht="14.4" spans="1:15">
      <c r="A88" s="6" t="s">
        <v>572</v>
      </c>
      <c r="B88" s="6" t="s">
        <v>545</v>
      </c>
      <c r="C88" s="6" t="s">
        <v>20</v>
      </c>
      <c r="D88" s="6" t="s">
        <v>441</v>
      </c>
      <c r="E88" s="9">
        <v>30</v>
      </c>
      <c r="F88" s="9">
        <f>SUMIFS(BOM用料!$N$5:$N$244,BOM用料!$E$5:$E$244,A88)</f>
        <v>2.1218</v>
      </c>
      <c r="G88" s="9">
        <f>SUMIFS(入库明细!$O$5:$O$204,入库明细!$G$5:$G$204,A88,入库明细!$Q$5:$Q$204,"&lt;&gt;不合格",入库明细!$Q$5:$Q$204,"&lt;&gt;退货")</f>
        <v>0</v>
      </c>
      <c r="H88" s="9">
        <f>SUMIFS(出库明细!$O$5:$O$204,出库明细!$G$5:$G$204,A88)</f>
        <v>0</v>
      </c>
      <c r="I88" s="9">
        <f t="shared" si="4"/>
        <v>0</v>
      </c>
      <c r="J88" s="9">
        <f t="shared" si="5"/>
        <v>-2.1218</v>
      </c>
      <c r="K88" s="6" t="str">
        <f t="shared" si="6"/>
        <v>低于安全库存</v>
      </c>
      <c r="L88" s="10">
        <f t="shared" si="7"/>
        <v>32.1218</v>
      </c>
      <c r="M88" s="10">
        <v>20</v>
      </c>
      <c r="N88" s="6" t="s">
        <v>442</v>
      </c>
      <c r="O88" s="6" t="s">
        <v>49</v>
      </c>
    </row>
    <row r="89" ht="14.4" spans="1:15">
      <c r="A89" s="6" t="s">
        <v>573</v>
      </c>
      <c r="B89" s="6" t="s">
        <v>574</v>
      </c>
      <c r="C89" s="6" t="s">
        <v>21</v>
      </c>
      <c r="D89" s="6" t="s">
        <v>437</v>
      </c>
      <c r="E89" s="9">
        <v>80</v>
      </c>
      <c r="F89" s="9">
        <f>SUMIFS(BOM用料!$N$5:$N$244,BOM用料!$E$5:$E$244,A89)</f>
        <v>100.5795</v>
      </c>
      <c r="G89" s="9">
        <f>SUMIFS(入库明细!$O$5:$O$204,入库明细!$G$5:$G$204,A89,入库明细!$Q$5:$Q$204,"&lt;&gt;不合格",入库明细!$Q$5:$Q$204,"&lt;&gt;退货")</f>
        <v>0</v>
      </c>
      <c r="H89" s="9">
        <f>SUMIFS(出库明细!$O$5:$O$204,出库明细!$G$5:$G$204,A89)</f>
        <v>0</v>
      </c>
      <c r="I89" s="9">
        <f t="shared" si="4"/>
        <v>0</v>
      </c>
      <c r="J89" s="9">
        <f t="shared" si="5"/>
        <v>-100.5795</v>
      </c>
      <c r="K89" s="6" t="str">
        <f t="shared" si="6"/>
        <v>低于安全库存</v>
      </c>
      <c r="L89" s="10">
        <f t="shared" si="7"/>
        <v>180.5795</v>
      </c>
      <c r="M89" s="10">
        <v>15</v>
      </c>
      <c r="N89" s="6" t="s">
        <v>438</v>
      </c>
      <c r="O89" s="6" t="s">
        <v>49</v>
      </c>
    </row>
    <row r="90" ht="14.4" spans="1:15">
      <c r="A90" s="6" t="s">
        <v>575</v>
      </c>
      <c r="B90" s="6" t="s">
        <v>576</v>
      </c>
      <c r="C90" s="6" t="s">
        <v>21</v>
      </c>
      <c r="D90" s="6" t="s">
        <v>437</v>
      </c>
      <c r="E90" s="9">
        <v>80</v>
      </c>
      <c r="F90" s="9">
        <f>SUMIFS(BOM用料!$N$5:$N$244,BOM用料!$E$5:$E$244,A90)</f>
        <v>100.5795</v>
      </c>
      <c r="G90" s="9">
        <f>SUMIFS(入库明细!$O$5:$O$204,入库明细!$G$5:$G$204,A90,入库明细!$Q$5:$Q$204,"&lt;&gt;不合格",入库明细!$Q$5:$Q$204,"&lt;&gt;退货")</f>
        <v>0</v>
      </c>
      <c r="H90" s="9">
        <f>SUMIFS(出库明细!$O$5:$O$204,出库明细!$G$5:$G$204,A90)</f>
        <v>0</v>
      </c>
      <c r="I90" s="9">
        <f t="shared" si="4"/>
        <v>0</v>
      </c>
      <c r="J90" s="9">
        <f t="shared" si="5"/>
        <v>-100.5795</v>
      </c>
      <c r="K90" s="6" t="str">
        <f t="shared" si="6"/>
        <v>低于安全库存</v>
      </c>
      <c r="L90" s="10">
        <f t="shared" si="7"/>
        <v>180.5795</v>
      </c>
      <c r="M90" s="10">
        <v>15</v>
      </c>
      <c r="N90" s="6" t="s">
        <v>438</v>
      </c>
      <c r="O90" s="6" t="s">
        <v>49</v>
      </c>
    </row>
    <row r="91" ht="14.4" spans="1:15">
      <c r="A91" s="6" t="s">
        <v>577</v>
      </c>
      <c r="B91" s="6" t="s">
        <v>541</v>
      </c>
      <c r="C91" s="6" t="s">
        <v>21</v>
      </c>
      <c r="D91" s="6" t="s">
        <v>437</v>
      </c>
      <c r="E91" s="9">
        <v>80</v>
      </c>
      <c r="F91" s="9">
        <f>SUMIFS(BOM用料!$N$5:$N$244,BOM用料!$E$5:$E$244,A91)</f>
        <v>1115.625</v>
      </c>
      <c r="G91" s="9">
        <f>SUMIFS(入库明细!$O$5:$O$204,入库明细!$G$5:$G$204,A91,入库明细!$Q$5:$Q$204,"&lt;&gt;不合格",入库明细!$Q$5:$Q$204,"&lt;&gt;退货")</f>
        <v>0</v>
      </c>
      <c r="H91" s="9">
        <f>SUMIFS(出库明细!$O$5:$O$204,出库明细!$G$5:$G$204,A91)</f>
        <v>0</v>
      </c>
      <c r="I91" s="9">
        <f t="shared" si="4"/>
        <v>0</v>
      </c>
      <c r="J91" s="9">
        <f t="shared" si="5"/>
        <v>-1115.625</v>
      </c>
      <c r="K91" s="6" t="str">
        <f t="shared" si="6"/>
        <v>低于安全库存</v>
      </c>
      <c r="L91" s="10">
        <f t="shared" si="7"/>
        <v>1195.625</v>
      </c>
      <c r="M91" s="10">
        <v>15</v>
      </c>
      <c r="N91" s="6" t="s">
        <v>438</v>
      </c>
      <c r="O91" s="6" t="s">
        <v>49</v>
      </c>
    </row>
    <row r="92" ht="14.4" spans="1:15">
      <c r="A92" s="6" t="s">
        <v>578</v>
      </c>
      <c r="B92" s="6" t="s">
        <v>579</v>
      </c>
      <c r="C92" s="6" t="s">
        <v>20</v>
      </c>
      <c r="D92" s="6" t="s">
        <v>441</v>
      </c>
      <c r="E92" s="9">
        <v>30</v>
      </c>
      <c r="F92" s="9">
        <f>SUMIFS(BOM用料!$N$5:$N$244,BOM用料!$E$5:$E$244,A92)</f>
        <v>28.016</v>
      </c>
      <c r="G92" s="9">
        <f>SUMIFS(入库明细!$O$5:$O$204,入库明细!$G$5:$G$204,A92,入库明细!$Q$5:$Q$204,"&lt;&gt;不合格",入库明细!$Q$5:$Q$204,"&lt;&gt;退货")</f>
        <v>0</v>
      </c>
      <c r="H92" s="9">
        <f>SUMIFS(出库明细!$O$5:$O$204,出库明细!$G$5:$G$204,A92)</f>
        <v>0</v>
      </c>
      <c r="I92" s="9">
        <f t="shared" si="4"/>
        <v>0</v>
      </c>
      <c r="J92" s="9">
        <f t="shared" si="5"/>
        <v>-28.016</v>
      </c>
      <c r="K92" s="6" t="str">
        <f t="shared" si="6"/>
        <v>低于安全库存</v>
      </c>
      <c r="L92" s="10">
        <f t="shared" si="7"/>
        <v>58.016</v>
      </c>
      <c r="M92" s="10">
        <v>20</v>
      </c>
      <c r="N92" s="6" t="s">
        <v>442</v>
      </c>
      <c r="O92" s="6" t="s">
        <v>49</v>
      </c>
    </row>
    <row r="93" ht="14.4" spans="1:15">
      <c r="A93" s="6" t="s">
        <v>580</v>
      </c>
      <c r="B93" s="6" t="s">
        <v>545</v>
      </c>
      <c r="C93" s="6" t="s">
        <v>20</v>
      </c>
      <c r="D93" s="6" t="s">
        <v>441</v>
      </c>
      <c r="E93" s="9">
        <v>30</v>
      </c>
      <c r="F93" s="9">
        <f>SUMIFS(BOM用料!$N$5:$N$244,BOM用料!$E$5:$E$244,A93)</f>
        <v>8.755</v>
      </c>
      <c r="G93" s="9">
        <f>SUMIFS(入库明细!$O$5:$O$204,入库明细!$G$5:$G$204,A93,入库明细!$Q$5:$Q$204,"&lt;&gt;不合格",入库明细!$Q$5:$Q$204,"&lt;&gt;退货")</f>
        <v>0</v>
      </c>
      <c r="H93" s="9">
        <f>SUMIFS(出库明细!$O$5:$O$204,出库明细!$G$5:$G$204,A93)</f>
        <v>0</v>
      </c>
      <c r="I93" s="9">
        <f t="shared" si="4"/>
        <v>0</v>
      </c>
      <c r="J93" s="9">
        <f t="shared" si="5"/>
        <v>-8.755</v>
      </c>
      <c r="K93" s="6" t="str">
        <f t="shared" si="6"/>
        <v>低于安全库存</v>
      </c>
      <c r="L93" s="10">
        <f t="shared" si="7"/>
        <v>38.755</v>
      </c>
      <c r="M93" s="10">
        <v>20</v>
      </c>
      <c r="N93" s="6" t="s">
        <v>442</v>
      </c>
      <c r="O93" s="6" t="s">
        <v>49</v>
      </c>
    </row>
    <row r="94" ht="14.4" spans="1:15">
      <c r="A94" s="6" t="s">
        <v>581</v>
      </c>
      <c r="B94" s="6" t="s">
        <v>582</v>
      </c>
      <c r="C94" s="6" t="s">
        <v>21</v>
      </c>
      <c r="D94" s="6" t="s">
        <v>437</v>
      </c>
      <c r="E94" s="9">
        <v>80</v>
      </c>
      <c r="F94" s="9">
        <f>SUMIFS(BOM用料!$N$5:$N$244,BOM用料!$E$5:$E$244,A94)</f>
        <v>1115.625</v>
      </c>
      <c r="G94" s="9">
        <f>SUMIFS(入库明细!$O$5:$O$204,入库明细!$G$5:$G$204,A94,入库明细!$Q$5:$Q$204,"&lt;&gt;不合格",入库明细!$Q$5:$Q$204,"&lt;&gt;退货")</f>
        <v>0</v>
      </c>
      <c r="H94" s="9">
        <f>SUMIFS(出库明细!$O$5:$O$204,出库明细!$G$5:$G$204,A94)</f>
        <v>0</v>
      </c>
      <c r="I94" s="9">
        <f t="shared" si="4"/>
        <v>0</v>
      </c>
      <c r="J94" s="9">
        <f t="shared" si="5"/>
        <v>-1115.625</v>
      </c>
      <c r="K94" s="6" t="str">
        <f t="shared" si="6"/>
        <v>低于安全库存</v>
      </c>
      <c r="L94" s="10">
        <f t="shared" si="7"/>
        <v>1195.625</v>
      </c>
      <c r="M94" s="10">
        <v>15</v>
      </c>
      <c r="N94" s="6" t="s">
        <v>438</v>
      </c>
      <c r="O94" s="6" t="s">
        <v>49</v>
      </c>
    </row>
    <row r="95" ht="14.4" spans="1:15">
      <c r="A95" s="6" t="s">
        <v>583</v>
      </c>
      <c r="B95" s="6" t="s">
        <v>584</v>
      </c>
      <c r="C95" s="6" t="s">
        <v>21</v>
      </c>
      <c r="D95" s="6" t="s">
        <v>437</v>
      </c>
      <c r="E95" s="9">
        <v>80</v>
      </c>
      <c r="F95" s="9">
        <f>SUMIFS(BOM用料!$N$5:$N$244,BOM用料!$E$5:$E$244,A95)</f>
        <v>1115.625</v>
      </c>
      <c r="G95" s="9">
        <f>SUMIFS(入库明细!$O$5:$O$204,入库明细!$G$5:$G$204,A95,入库明细!$Q$5:$Q$204,"&lt;&gt;不合格",入库明细!$Q$5:$Q$204,"&lt;&gt;退货")</f>
        <v>0</v>
      </c>
      <c r="H95" s="9">
        <f>SUMIFS(出库明细!$O$5:$O$204,出库明细!$G$5:$G$204,A95)</f>
        <v>0</v>
      </c>
      <c r="I95" s="9">
        <f t="shared" si="4"/>
        <v>0</v>
      </c>
      <c r="J95" s="9">
        <f t="shared" si="5"/>
        <v>-1115.625</v>
      </c>
      <c r="K95" s="6" t="str">
        <f t="shared" si="6"/>
        <v>低于安全库存</v>
      </c>
      <c r="L95" s="10">
        <f t="shared" si="7"/>
        <v>1195.625</v>
      </c>
      <c r="M95" s="10">
        <v>15</v>
      </c>
      <c r="N95" s="6" t="s">
        <v>438</v>
      </c>
      <c r="O95" s="6" t="s">
        <v>49</v>
      </c>
    </row>
    <row r="96" ht="14.4" spans="1:15">
      <c r="A96" s="6" t="s">
        <v>585</v>
      </c>
      <c r="B96" s="6" t="s">
        <v>541</v>
      </c>
      <c r="C96" s="6" t="s">
        <v>21</v>
      </c>
      <c r="D96" s="6" t="s">
        <v>437</v>
      </c>
      <c r="E96" s="9">
        <v>80</v>
      </c>
      <c r="F96" s="9">
        <f>SUMIFS(BOM用料!$N$5:$N$244,BOM用料!$E$5:$E$244,A96)</f>
        <v>38.325</v>
      </c>
      <c r="G96" s="9">
        <f>SUMIFS(入库明细!$O$5:$O$204,入库明细!$G$5:$G$204,A96,入库明细!$Q$5:$Q$204,"&lt;&gt;不合格",入库明细!$Q$5:$Q$204,"&lt;&gt;退货")</f>
        <v>0</v>
      </c>
      <c r="H96" s="9">
        <f>SUMIFS(出库明细!$O$5:$O$204,出库明细!$G$5:$G$204,A96)</f>
        <v>0</v>
      </c>
      <c r="I96" s="9">
        <f t="shared" si="4"/>
        <v>0</v>
      </c>
      <c r="J96" s="9">
        <f t="shared" si="5"/>
        <v>-38.325</v>
      </c>
      <c r="K96" s="6" t="str">
        <f t="shared" si="6"/>
        <v>低于安全库存</v>
      </c>
      <c r="L96" s="10">
        <f t="shared" si="7"/>
        <v>118.325</v>
      </c>
      <c r="M96" s="10">
        <v>15</v>
      </c>
      <c r="N96" s="6" t="s">
        <v>438</v>
      </c>
      <c r="O96" s="6" t="s">
        <v>49</v>
      </c>
    </row>
    <row r="97" ht="14.4" spans="1:15">
      <c r="A97" s="6" t="s">
        <v>586</v>
      </c>
      <c r="B97" s="6" t="s">
        <v>564</v>
      </c>
      <c r="C97" s="6" t="s">
        <v>20</v>
      </c>
      <c r="D97" s="6" t="s">
        <v>441</v>
      </c>
      <c r="E97" s="9">
        <v>30</v>
      </c>
      <c r="F97" s="9">
        <f>SUMIFS(BOM用料!$N$5:$N$244,BOM用料!$E$5:$E$244,A97)</f>
        <v>1.05266</v>
      </c>
      <c r="G97" s="9">
        <f>SUMIFS(入库明细!$O$5:$O$204,入库明细!$G$5:$G$204,A97,入库明细!$Q$5:$Q$204,"&lt;&gt;不合格",入库明细!$Q$5:$Q$204,"&lt;&gt;退货")</f>
        <v>0</v>
      </c>
      <c r="H97" s="9">
        <f>SUMIFS(出库明细!$O$5:$O$204,出库明细!$G$5:$G$204,A97)</f>
        <v>0</v>
      </c>
      <c r="I97" s="9">
        <f t="shared" si="4"/>
        <v>0</v>
      </c>
      <c r="J97" s="9">
        <f t="shared" si="5"/>
        <v>-1.05266</v>
      </c>
      <c r="K97" s="6" t="str">
        <f t="shared" si="6"/>
        <v>低于安全库存</v>
      </c>
      <c r="L97" s="10">
        <f t="shared" si="7"/>
        <v>31.05266</v>
      </c>
      <c r="M97" s="10">
        <v>20</v>
      </c>
      <c r="N97" s="6" t="s">
        <v>442</v>
      </c>
      <c r="O97" s="6" t="s">
        <v>49</v>
      </c>
    </row>
    <row r="98" ht="14.4" spans="1:15">
      <c r="A98" s="6" t="s">
        <v>587</v>
      </c>
      <c r="B98" s="6" t="s">
        <v>545</v>
      </c>
      <c r="C98" s="6" t="s">
        <v>20</v>
      </c>
      <c r="D98" s="6" t="s">
        <v>441</v>
      </c>
      <c r="E98" s="9">
        <v>30</v>
      </c>
      <c r="F98" s="9">
        <f>SUMIFS(BOM用料!$N$5:$N$244,BOM用料!$E$5:$E$244,A98)</f>
        <v>37.595</v>
      </c>
      <c r="G98" s="9">
        <f>SUMIFS(入库明细!$O$5:$O$204,入库明细!$G$5:$G$204,A98,入库明细!$Q$5:$Q$204,"&lt;&gt;不合格",入库明细!$Q$5:$Q$204,"&lt;&gt;退货")</f>
        <v>0</v>
      </c>
      <c r="H98" s="9">
        <f>SUMIFS(出库明细!$O$5:$O$204,出库明细!$G$5:$G$204,A98)</f>
        <v>0</v>
      </c>
      <c r="I98" s="9">
        <f t="shared" si="4"/>
        <v>0</v>
      </c>
      <c r="J98" s="9">
        <f t="shared" si="5"/>
        <v>-37.595</v>
      </c>
      <c r="K98" s="6" t="str">
        <f t="shared" si="6"/>
        <v>低于安全库存</v>
      </c>
      <c r="L98" s="10">
        <f t="shared" si="7"/>
        <v>67.595</v>
      </c>
      <c r="M98" s="10">
        <v>20</v>
      </c>
      <c r="N98" s="6" t="s">
        <v>442</v>
      </c>
      <c r="O98" s="6" t="s">
        <v>49</v>
      </c>
    </row>
    <row r="99" ht="14.4" spans="1:15">
      <c r="A99" s="6" t="s">
        <v>588</v>
      </c>
      <c r="B99" s="6" t="s">
        <v>589</v>
      </c>
      <c r="C99" s="6" t="s">
        <v>21</v>
      </c>
      <c r="D99" s="6" t="s">
        <v>437</v>
      </c>
      <c r="E99" s="9">
        <v>80</v>
      </c>
      <c r="F99" s="9">
        <f>SUMIFS(BOM用料!$N$5:$N$244,BOM用料!$E$5:$E$244,A99)</f>
        <v>38.325</v>
      </c>
      <c r="G99" s="9">
        <f>SUMIFS(入库明细!$O$5:$O$204,入库明细!$G$5:$G$204,A99,入库明细!$Q$5:$Q$204,"&lt;&gt;不合格",入库明细!$Q$5:$Q$204,"&lt;&gt;退货")</f>
        <v>0</v>
      </c>
      <c r="H99" s="9">
        <f>SUMIFS(出库明细!$O$5:$O$204,出库明细!$G$5:$G$204,A99)</f>
        <v>0</v>
      </c>
      <c r="I99" s="9">
        <f t="shared" si="4"/>
        <v>0</v>
      </c>
      <c r="J99" s="9">
        <f t="shared" si="5"/>
        <v>-38.325</v>
      </c>
      <c r="K99" s="6" t="str">
        <f t="shared" si="6"/>
        <v>低于安全库存</v>
      </c>
      <c r="L99" s="10">
        <f t="shared" si="7"/>
        <v>118.325</v>
      </c>
      <c r="M99" s="10">
        <v>15</v>
      </c>
      <c r="N99" s="6" t="s">
        <v>438</v>
      </c>
      <c r="O99" s="6" t="s">
        <v>49</v>
      </c>
    </row>
    <row r="100" ht="14.4" spans="1:15">
      <c r="A100" s="6" t="s">
        <v>590</v>
      </c>
      <c r="B100" s="6" t="s">
        <v>591</v>
      </c>
      <c r="C100" s="6" t="s">
        <v>21</v>
      </c>
      <c r="D100" s="6" t="s">
        <v>437</v>
      </c>
      <c r="E100" s="9">
        <v>80</v>
      </c>
      <c r="F100" s="9">
        <f>SUMIFS(BOM用料!$N$5:$N$244,BOM用料!$E$5:$E$244,A100)</f>
        <v>38.325</v>
      </c>
      <c r="G100" s="9">
        <f>SUMIFS(入库明细!$O$5:$O$204,入库明细!$G$5:$G$204,A100,入库明细!$Q$5:$Q$204,"&lt;&gt;不合格",入库明细!$Q$5:$Q$204,"&lt;&gt;退货")</f>
        <v>0</v>
      </c>
      <c r="H100" s="9">
        <f>SUMIFS(出库明细!$O$5:$O$204,出库明细!$G$5:$G$204,A100)</f>
        <v>0</v>
      </c>
      <c r="I100" s="9">
        <f t="shared" si="4"/>
        <v>0</v>
      </c>
      <c r="J100" s="9">
        <f t="shared" si="5"/>
        <v>-38.325</v>
      </c>
      <c r="K100" s="6" t="str">
        <f t="shared" si="6"/>
        <v>低于安全库存</v>
      </c>
      <c r="L100" s="10">
        <f t="shared" si="7"/>
        <v>118.325</v>
      </c>
      <c r="M100" s="10">
        <v>15</v>
      </c>
      <c r="N100" s="6" t="s">
        <v>438</v>
      </c>
      <c r="O100" s="6" t="s">
        <v>49</v>
      </c>
    </row>
    <row r="101" ht="14.4" spans="1:15">
      <c r="A101" s="6" t="s">
        <v>592</v>
      </c>
      <c r="B101" s="6" t="s">
        <v>541</v>
      </c>
      <c r="C101" s="6" t="s">
        <v>21</v>
      </c>
      <c r="D101" s="6" t="s">
        <v>437</v>
      </c>
      <c r="E101" s="9">
        <v>80</v>
      </c>
      <c r="F101" s="9">
        <f>SUMIFS(BOM用料!$N$5:$N$244,BOM用料!$E$5:$E$244,A101)</f>
        <v>672.546</v>
      </c>
      <c r="G101" s="9">
        <f>SUMIFS(入库明细!$O$5:$O$204,入库明细!$G$5:$G$204,A101,入库明细!$Q$5:$Q$204,"&lt;&gt;不合格",入库明细!$Q$5:$Q$204,"&lt;&gt;退货")</f>
        <v>0</v>
      </c>
      <c r="H101" s="9">
        <f>SUMIFS(出库明细!$O$5:$O$204,出库明细!$G$5:$G$204,A101)</f>
        <v>0</v>
      </c>
      <c r="I101" s="9">
        <f t="shared" si="4"/>
        <v>0</v>
      </c>
      <c r="J101" s="9">
        <f t="shared" si="5"/>
        <v>-672.546</v>
      </c>
      <c r="K101" s="6" t="str">
        <f t="shared" si="6"/>
        <v>低于安全库存</v>
      </c>
      <c r="L101" s="10">
        <f t="shared" si="7"/>
        <v>752.546</v>
      </c>
      <c r="M101" s="10">
        <v>15</v>
      </c>
      <c r="N101" s="6" t="s">
        <v>438</v>
      </c>
      <c r="O101" s="6" t="s">
        <v>49</v>
      </c>
    </row>
    <row r="102" ht="14.4" spans="1:15">
      <c r="A102" s="6" t="s">
        <v>593</v>
      </c>
      <c r="B102" s="6" t="s">
        <v>594</v>
      </c>
      <c r="C102" s="6" t="s">
        <v>20</v>
      </c>
      <c r="D102" s="6" t="s">
        <v>441</v>
      </c>
      <c r="E102" s="9">
        <v>30</v>
      </c>
      <c r="F102" s="9">
        <f>SUMIFS(BOM用料!$N$5:$N$244,BOM用料!$E$5:$E$244,A102)</f>
        <v>29.5404</v>
      </c>
      <c r="G102" s="9">
        <f>SUMIFS(入库明细!$O$5:$O$204,入库明细!$G$5:$G$204,A102,入库明细!$Q$5:$Q$204,"&lt;&gt;不合格",入库明细!$Q$5:$Q$204,"&lt;&gt;退货")</f>
        <v>0</v>
      </c>
      <c r="H102" s="9">
        <f>SUMIFS(出库明细!$O$5:$O$204,出库明细!$G$5:$G$204,A102)</f>
        <v>0</v>
      </c>
      <c r="I102" s="9">
        <f t="shared" si="4"/>
        <v>0</v>
      </c>
      <c r="J102" s="9">
        <f t="shared" si="5"/>
        <v>-29.5404</v>
      </c>
      <c r="K102" s="6" t="str">
        <f t="shared" si="6"/>
        <v>低于安全库存</v>
      </c>
      <c r="L102" s="10">
        <f t="shared" si="7"/>
        <v>59.5404</v>
      </c>
      <c r="M102" s="10">
        <v>20</v>
      </c>
      <c r="N102" s="6" t="s">
        <v>442</v>
      </c>
      <c r="O102" s="6" t="s">
        <v>49</v>
      </c>
    </row>
    <row r="103" ht="14.4" spans="1:15">
      <c r="A103" s="6" t="s">
        <v>595</v>
      </c>
      <c r="B103" s="6" t="s">
        <v>541</v>
      </c>
      <c r="C103" s="6" t="s">
        <v>21</v>
      </c>
      <c r="D103" s="6" t="s">
        <v>437</v>
      </c>
      <c r="E103" s="9">
        <v>80</v>
      </c>
      <c r="F103" s="9">
        <f>SUMIFS(BOM用料!$N$5:$N$244,BOM用料!$E$5:$E$244,A103)</f>
        <v>77.385</v>
      </c>
      <c r="G103" s="9">
        <f>SUMIFS(入库明细!$O$5:$O$204,入库明细!$G$5:$G$204,A103,入库明细!$Q$5:$Q$204,"&lt;&gt;不合格",入库明细!$Q$5:$Q$204,"&lt;&gt;退货")</f>
        <v>0</v>
      </c>
      <c r="H103" s="9">
        <f>SUMIFS(出库明细!$O$5:$O$204,出库明细!$G$5:$G$204,A103)</f>
        <v>0</v>
      </c>
      <c r="I103" s="9">
        <f t="shared" si="4"/>
        <v>0</v>
      </c>
      <c r="J103" s="9">
        <f t="shared" si="5"/>
        <v>-77.385</v>
      </c>
      <c r="K103" s="6" t="str">
        <f t="shared" si="6"/>
        <v>低于安全库存</v>
      </c>
      <c r="L103" s="10">
        <f t="shared" si="7"/>
        <v>157.385</v>
      </c>
      <c r="M103" s="10">
        <v>15</v>
      </c>
      <c r="N103" s="6" t="s">
        <v>438</v>
      </c>
      <c r="O103" s="6" t="s">
        <v>49</v>
      </c>
    </row>
    <row r="104" ht="14.4" spans="1:15">
      <c r="A104" s="6" t="s">
        <v>596</v>
      </c>
      <c r="B104" s="6" t="s">
        <v>594</v>
      </c>
      <c r="C104" s="6" t="s">
        <v>20</v>
      </c>
      <c r="D104" s="6" t="s">
        <v>441</v>
      </c>
      <c r="E104" s="9">
        <v>30</v>
      </c>
      <c r="F104" s="9">
        <f>SUMIFS(BOM用料!$N$5:$N$244,BOM用料!$E$5:$E$244,A104)</f>
        <v>4.1406</v>
      </c>
      <c r="G104" s="9">
        <f>SUMIFS(入库明细!$O$5:$O$204,入库明细!$G$5:$G$204,A104,入库明细!$Q$5:$Q$204,"&lt;&gt;不合格",入库明细!$Q$5:$Q$204,"&lt;&gt;退货")</f>
        <v>0</v>
      </c>
      <c r="H104" s="9">
        <f>SUMIFS(出库明细!$O$5:$O$204,出库明细!$G$5:$G$204,A104)</f>
        <v>0</v>
      </c>
      <c r="I104" s="9">
        <f t="shared" si="4"/>
        <v>0</v>
      </c>
      <c r="J104" s="9">
        <f t="shared" si="5"/>
        <v>-4.1406</v>
      </c>
      <c r="K104" s="6" t="str">
        <f t="shared" si="6"/>
        <v>低于安全库存</v>
      </c>
      <c r="L104" s="10">
        <f t="shared" si="7"/>
        <v>34.1406</v>
      </c>
      <c r="M104" s="10">
        <v>20</v>
      </c>
      <c r="N104" s="6" t="s">
        <v>442</v>
      </c>
      <c r="O104" s="6" t="s">
        <v>49</v>
      </c>
    </row>
    <row r="105" ht="14.4" spans="1:15">
      <c r="A105" s="6" t="s">
        <v>597</v>
      </c>
      <c r="B105" s="6" t="s">
        <v>541</v>
      </c>
      <c r="C105" s="6" t="s">
        <v>21</v>
      </c>
      <c r="D105" s="6" t="s">
        <v>437</v>
      </c>
      <c r="E105" s="9">
        <v>80</v>
      </c>
      <c r="F105" s="9">
        <f>SUMIFS(BOM用料!$N$5:$N$244,BOM用料!$E$5:$E$244,A105)</f>
        <v>376.194</v>
      </c>
      <c r="G105" s="9">
        <f>SUMIFS(入库明细!$O$5:$O$204,入库明细!$G$5:$G$204,A105,入库明细!$Q$5:$Q$204,"&lt;&gt;不合格",入库明细!$Q$5:$Q$204,"&lt;&gt;退货")</f>
        <v>0</v>
      </c>
      <c r="H105" s="9">
        <f>SUMIFS(出库明细!$O$5:$O$204,出库明细!$G$5:$G$204,A105)</f>
        <v>0</v>
      </c>
      <c r="I105" s="9">
        <f t="shared" si="4"/>
        <v>0</v>
      </c>
      <c r="J105" s="9">
        <f t="shared" si="5"/>
        <v>-376.194</v>
      </c>
      <c r="K105" s="6" t="str">
        <f t="shared" si="6"/>
        <v>低于安全库存</v>
      </c>
      <c r="L105" s="10">
        <f t="shared" si="7"/>
        <v>456.194</v>
      </c>
      <c r="M105" s="10">
        <v>15</v>
      </c>
      <c r="N105" s="6" t="s">
        <v>438</v>
      </c>
      <c r="O105" s="6" t="s">
        <v>49</v>
      </c>
    </row>
    <row r="106" ht="14.4" spans="1:15">
      <c r="A106" s="6" t="s">
        <v>598</v>
      </c>
      <c r="B106" s="6" t="s">
        <v>564</v>
      </c>
      <c r="C106" s="6" t="s">
        <v>20</v>
      </c>
      <c r="D106" s="6" t="s">
        <v>441</v>
      </c>
      <c r="E106" s="9">
        <v>30</v>
      </c>
      <c r="F106" s="9">
        <f>SUMIFS(BOM用料!$N$5:$N$244,BOM用料!$E$5:$E$244,A106)</f>
        <v>13.22932</v>
      </c>
      <c r="G106" s="9">
        <f>SUMIFS(入库明细!$O$5:$O$204,入库明细!$G$5:$G$204,A106,入库明细!$Q$5:$Q$204,"&lt;&gt;不合格",入库明细!$Q$5:$Q$204,"&lt;&gt;退货")</f>
        <v>0</v>
      </c>
      <c r="H106" s="9">
        <f>SUMIFS(出库明细!$O$5:$O$204,出库明细!$G$5:$G$204,A106)</f>
        <v>0</v>
      </c>
      <c r="I106" s="9">
        <f t="shared" si="4"/>
        <v>0</v>
      </c>
      <c r="J106" s="9">
        <f t="shared" si="5"/>
        <v>-13.22932</v>
      </c>
      <c r="K106" s="6" t="str">
        <f t="shared" si="6"/>
        <v>低于安全库存</v>
      </c>
      <c r="L106" s="10">
        <f t="shared" si="7"/>
        <v>43.22932</v>
      </c>
      <c r="M106" s="10">
        <v>20</v>
      </c>
      <c r="N106" s="6" t="s">
        <v>442</v>
      </c>
      <c r="O106" s="6" t="s">
        <v>49</v>
      </c>
    </row>
    <row r="107" ht="14.4" spans="1:15">
      <c r="A107" s="6" t="s">
        <v>599</v>
      </c>
      <c r="B107" s="6" t="s">
        <v>545</v>
      </c>
      <c r="C107" s="6" t="s">
        <v>20</v>
      </c>
      <c r="D107" s="6" t="s">
        <v>441</v>
      </c>
      <c r="E107" s="9">
        <v>30</v>
      </c>
      <c r="F107" s="9">
        <f>SUMIFS(BOM用料!$N$5:$N$244,BOM用料!$E$5:$E$244,A107)</f>
        <v>369.0284</v>
      </c>
      <c r="G107" s="9">
        <f>SUMIFS(入库明细!$O$5:$O$204,入库明细!$G$5:$G$204,A107,入库明细!$Q$5:$Q$204,"&lt;&gt;不合格",入库明细!$Q$5:$Q$204,"&lt;&gt;退货")</f>
        <v>0</v>
      </c>
      <c r="H107" s="9">
        <f>SUMIFS(出库明细!$O$5:$O$204,出库明细!$G$5:$G$204,A107)</f>
        <v>0</v>
      </c>
      <c r="I107" s="9">
        <f t="shared" si="4"/>
        <v>0</v>
      </c>
      <c r="J107" s="9">
        <f t="shared" si="5"/>
        <v>-369.0284</v>
      </c>
      <c r="K107" s="6" t="str">
        <f t="shared" si="6"/>
        <v>低于安全库存</v>
      </c>
      <c r="L107" s="10">
        <f t="shared" si="7"/>
        <v>399.0284</v>
      </c>
      <c r="M107" s="10">
        <v>20</v>
      </c>
      <c r="N107" s="6" t="s">
        <v>442</v>
      </c>
      <c r="O107" s="6" t="s">
        <v>49</v>
      </c>
    </row>
    <row r="108" ht="14.4" spans="1:15">
      <c r="A108" s="6" t="s">
        <v>600</v>
      </c>
      <c r="B108" s="6" t="s">
        <v>601</v>
      </c>
      <c r="C108" s="6" t="s">
        <v>21</v>
      </c>
      <c r="D108" s="6" t="s">
        <v>437</v>
      </c>
      <c r="E108" s="9">
        <v>80</v>
      </c>
      <c r="F108" s="9">
        <f>SUMIFS(BOM用料!$N$5:$N$244,BOM用料!$E$5:$E$244,A108)</f>
        <v>376.194</v>
      </c>
      <c r="G108" s="9">
        <f>SUMIFS(入库明细!$O$5:$O$204,入库明细!$G$5:$G$204,A108,入库明细!$Q$5:$Q$204,"&lt;&gt;不合格",入库明细!$Q$5:$Q$204,"&lt;&gt;退货")</f>
        <v>0</v>
      </c>
      <c r="H108" s="9">
        <f>SUMIFS(出库明细!$O$5:$O$204,出库明细!$G$5:$G$204,A108)</f>
        <v>0</v>
      </c>
      <c r="I108" s="9">
        <f t="shared" si="4"/>
        <v>0</v>
      </c>
      <c r="J108" s="9">
        <f t="shared" si="5"/>
        <v>-376.194</v>
      </c>
      <c r="K108" s="6" t="str">
        <f t="shared" si="6"/>
        <v>低于安全库存</v>
      </c>
      <c r="L108" s="10">
        <f t="shared" si="7"/>
        <v>456.194</v>
      </c>
      <c r="M108" s="10">
        <v>15</v>
      </c>
      <c r="N108" s="6" t="s">
        <v>438</v>
      </c>
      <c r="O108" s="6" t="s">
        <v>49</v>
      </c>
    </row>
    <row r="109" ht="14.4" spans="1:15">
      <c r="A109" s="6" t="s">
        <v>602</v>
      </c>
      <c r="B109" s="6" t="s">
        <v>603</v>
      </c>
      <c r="C109" s="6" t="s">
        <v>21</v>
      </c>
      <c r="D109" s="6" t="s">
        <v>437</v>
      </c>
      <c r="E109" s="9">
        <v>80</v>
      </c>
      <c r="F109" s="9">
        <f>SUMIFS(BOM用料!$N$5:$N$244,BOM用料!$E$5:$E$244,A109)</f>
        <v>376.194</v>
      </c>
      <c r="G109" s="9">
        <f>SUMIFS(入库明细!$O$5:$O$204,入库明细!$G$5:$G$204,A109,入库明细!$Q$5:$Q$204,"&lt;&gt;不合格",入库明细!$Q$5:$Q$204,"&lt;&gt;退货")</f>
        <v>0</v>
      </c>
      <c r="H109" s="9">
        <f>SUMIFS(出库明细!$O$5:$O$204,出库明细!$G$5:$G$204,A109)</f>
        <v>0</v>
      </c>
      <c r="I109" s="9">
        <f t="shared" si="4"/>
        <v>0</v>
      </c>
      <c r="J109" s="9">
        <f t="shared" si="5"/>
        <v>-376.194</v>
      </c>
      <c r="K109" s="6" t="str">
        <f t="shared" si="6"/>
        <v>低于安全库存</v>
      </c>
      <c r="L109" s="10">
        <f t="shared" si="7"/>
        <v>456.194</v>
      </c>
      <c r="M109" s="10">
        <v>15</v>
      </c>
      <c r="N109" s="6" t="s">
        <v>438</v>
      </c>
      <c r="O109" s="6" t="s">
        <v>49</v>
      </c>
    </row>
    <row r="110" ht="14.4" spans="1:15">
      <c r="A110" s="6" t="s">
        <v>604</v>
      </c>
      <c r="B110" s="6" t="s">
        <v>605</v>
      </c>
      <c r="C110" s="6" t="s">
        <v>21</v>
      </c>
      <c r="D110" s="6" t="s">
        <v>437</v>
      </c>
      <c r="E110" s="9">
        <v>80</v>
      </c>
      <c r="F110" s="9">
        <f>SUMIFS(BOM用料!$N$5:$N$244,BOM用料!$E$5:$E$244,A110)</f>
        <v>421.344</v>
      </c>
      <c r="G110" s="9">
        <f>SUMIFS(入库明细!$O$5:$O$204,入库明细!$G$5:$G$204,A110,入库明细!$Q$5:$Q$204,"&lt;&gt;不合格",入库明细!$Q$5:$Q$204,"&lt;&gt;退货")</f>
        <v>0</v>
      </c>
      <c r="H110" s="9">
        <f>SUMIFS(出库明细!$O$5:$O$204,出库明细!$G$5:$G$204,A110)</f>
        <v>0</v>
      </c>
      <c r="I110" s="9">
        <f t="shared" si="4"/>
        <v>0</v>
      </c>
      <c r="J110" s="9">
        <f t="shared" si="5"/>
        <v>-421.344</v>
      </c>
      <c r="K110" s="6" t="str">
        <f t="shared" si="6"/>
        <v>低于安全库存</v>
      </c>
      <c r="L110" s="10">
        <f t="shared" si="7"/>
        <v>501.344</v>
      </c>
      <c r="M110" s="10">
        <v>15</v>
      </c>
      <c r="N110" s="6" t="s">
        <v>438</v>
      </c>
      <c r="O110" s="6" t="s">
        <v>49</v>
      </c>
    </row>
    <row r="111" ht="14.4" spans="1:15">
      <c r="A111" s="6" t="s">
        <v>606</v>
      </c>
      <c r="B111" s="6" t="s">
        <v>607</v>
      </c>
      <c r="C111" s="6" t="s">
        <v>21</v>
      </c>
      <c r="D111" s="6" t="s">
        <v>437</v>
      </c>
      <c r="E111" s="9">
        <v>80</v>
      </c>
      <c r="F111" s="9">
        <f>SUMIFS(BOM用料!$N$5:$N$244,BOM用料!$E$5:$E$244,A111)</f>
        <v>16.632</v>
      </c>
      <c r="G111" s="9">
        <f>SUMIFS(入库明细!$O$5:$O$204,入库明细!$G$5:$G$204,A111,入库明细!$Q$5:$Q$204,"&lt;&gt;不合格",入库明细!$Q$5:$Q$204,"&lt;&gt;退货")</f>
        <v>0</v>
      </c>
      <c r="H111" s="9">
        <f>SUMIFS(出库明细!$O$5:$O$204,出库明细!$G$5:$G$204,A111)</f>
        <v>0</v>
      </c>
      <c r="I111" s="9">
        <f t="shared" si="4"/>
        <v>0</v>
      </c>
      <c r="J111" s="9">
        <f t="shared" si="5"/>
        <v>-16.632</v>
      </c>
      <c r="K111" s="6" t="str">
        <f t="shared" si="6"/>
        <v>低于安全库存</v>
      </c>
      <c r="L111" s="10">
        <f t="shared" si="7"/>
        <v>96.632</v>
      </c>
      <c r="M111" s="10">
        <v>15</v>
      </c>
      <c r="N111" s="6" t="s">
        <v>438</v>
      </c>
      <c r="O111" s="6" t="s">
        <v>49</v>
      </c>
    </row>
    <row r="112" ht="14.4" spans="1:15">
      <c r="A112" s="6" t="s">
        <v>608</v>
      </c>
      <c r="B112" s="6" t="s">
        <v>605</v>
      </c>
      <c r="C112" s="6" t="s">
        <v>21</v>
      </c>
      <c r="D112" s="6" t="s">
        <v>437</v>
      </c>
      <c r="E112" s="9">
        <v>80</v>
      </c>
      <c r="F112" s="9">
        <f>SUMIFS(BOM用料!$N$5:$N$244,BOM用料!$E$5:$E$244,A112)</f>
        <v>421.344</v>
      </c>
      <c r="G112" s="9">
        <f>SUMIFS(入库明细!$O$5:$O$204,入库明细!$G$5:$G$204,A112,入库明细!$Q$5:$Q$204,"&lt;&gt;不合格",入库明细!$Q$5:$Q$204,"&lt;&gt;退货")</f>
        <v>0</v>
      </c>
      <c r="H112" s="9">
        <f>SUMIFS(出库明细!$O$5:$O$204,出库明细!$G$5:$G$204,A112)</f>
        <v>0</v>
      </c>
      <c r="I112" s="9">
        <f t="shared" si="4"/>
        <v>0</v>
      </c>
      <c r="J112" s="9">
        <f t="shared" si="5"/>
        <v>-421.344</v>
      </c>
      <c r="K112" s="6" t="str">
        <f t="shared" si="6"/>
        <v>低于安全库存</v>
      </c>
      <c r="L112" s="10">
        <f t="shared" si="7"/>
        <v>501.344</v>
      </c>
      <c r="M112" s="10">
        <v>15</v>
      </c>
      <c r="N112" s="6" t="s">
        <v>438</v>
      </c>
      <c r="O112" s="6" t="s">
        <v>49</v>
      </c>
    </row>
    <row r="113" ht="14.4" spans="1:15">
      <c r="A113" s="6" t="s">
        <v>609</v>
      </c>
      <c r="B113" s="6" t="s">
        <v>594</v>
      </c>
      <c r="C113" s="6" t="s">
        <v>20</v>
      </c>
      <c r="D113" s="6" t="s">
        <v>441</v>
      </c>
      <c r="E113" s="9">
        <v>30</v>
      </c>
      <c r="F113" s="9">
        <f>SUMIFS(BOM用料!$N$5:$N$244,BOM用料!$E$5:$E$244,A113)</f>
        <v>413.3184</v>
      </c>
      <c r="G113" s="9">
        <f>SUMIFS(入库明细!$O$5:$O$204,入库明细!$G$5:$G$204,A113,入库明细!$Q$5:$Q$204,"&lt;&gt;不合格",入库明细!$Q$5:$Q$204,"&lt;&gt;退货")</f>
        <v>0</v>
      </c>
      <c r="H113" s="9">
        <f>SUMIFS(出库明细!$O$5:$O$204,出库明细!$G$5:$G$204,A113)</f>
        <v>0</v>
      </c>
      <c r="I113" s="9">
        <f t="shared" si="4"/>
        <v>0</v>
      </c>
      <c r="J113" s="9">
        <f t="shared" si="5"/>
        <v>-413.3184</v>
      </c>
      <c r="K113" s="6" t="str">
        <f t="shared" si="6"/>
        <v>低于安全库存</v>
      </c>
      <c r="L113" s="10">
        <f t="shared" si="7"/>
        <v>443.3184</v>
      </c>
      <c r="M113" s="10">
        <v>20</v>
      </c>
      <c r="N113" s="6" t="s">
        <v>442</v>
      </c>
      <c r="O113" s="6" t="s">
        <v>49</v>
      </c>
    </row>
    <row r="114" ht="14.4" spans="1:15">
      <c r="A114" s="6" t="s">
        <v>610</v>
      </c>
      <c r="B114" s="6" t="s">
        <v>605</v>
      </c>
      <c r="C114" s="6" t="s">
        <v>21</v>
      </c>
      <c r="D114" s="6" t="s">
        <v>437</v>
      </c>
      <c r="E114" s="9">
        <v>80</v>
      </c>
      <c r="F114" s="9">
        <f>SUMIFS(BOM用料!$N$5:$N$244,BOM用料!$E$5:$E$244,A114)</f>
        <v>57.33</v>
      </c>
      <c r="G114" s="9">
        <f>SUMIFS(入库明细!$O$5:$O$204,入库明细!$G$5:$G$204,A114,入库明细!$Q$5:$Q$204,"&lt;&gt;不合格",入库明细!$Q$5:$Q$204,"&lt;&gt;退货")</f>
        <v>0</v>
      </c>
      <c r="H114" s="9">
        <f>SUMIFS(出库明细!$O$5:$O$204,出库明细!$G$5:$G$204,A114)</f>
        <v>0</v>
      </c>
      <c r="I114" s="9">
        <f t="shared" si="4"/>
        <v>0</v>
      </c>
      <c r="J114" s="9">
        <f t="shared" si="5"/>
        <v>-57.33</v>
      </c>
      <c r="K114" s="6" t="str">
        <f t="shared" si="6"/>
        <v>低于安全库存</v>
      </c>
      <c r="L114" s="10">
        <f t="shared" si="7"/>
        <v>137.33</v>
      </c>
      <c r="M114" s="10">
        <v>15</v>
      </c>
      <c r="N114" s="6" t="s">
        <v>438</v>
      </c>
      <c r="O114" s="6" t="s">
        <v>49</v>
      </c>
    </row>
    <row r="115" ht="14.4" spans="1:15">
      <c r="A115" s="6" t="s">
        <v>611</v>
      </c>
      <c r="B115" s="6" t="s">
        <v>607</v>
      </c>
      <c r="C115" s="6" t="s">
        <v>21</v>
      </c>
      <c r="D115" s="6" t="s">
        <v>437</v>
      </c>
      <c r="E115" s="9">
        <v>80</v>
      </c>
      <c r="F115" s="9">
        <f>SUMIFS(BOM用料!$N$5:$N$244,BOM用料!$E$5:$E$244,A115)</f>
        <v>2.646</v>
      </c>
      <c r="G115" s="9">
        <f>SUMIFS(入库明细!$O$5:$O$204,入库明细!$G$5:$G$204,A115,入库明细!$Q$5:$Q$204,"&lt;&gt;不合格",入库明细!$Q$5:$Q$204,"&lt;&gt;退货")</f>
        <v>0</v>
      </c>
      <c r="H115" s="9">
        <f>SUMIFS(出库明细!$O$5:$O$204,出库明细!$G$5:$G$204,A115)</f>
        <v>0</v>
      </c>
      <c r="I115" s="9">
        <f t="shared" si="4"/>
        <v>0</v>
      </c>
      <c r="J115" s="9">
        <f t="shared" si="5"/>
        <v>-2.646</v>
      </c>
      <c r="K115" s="6" t="str">
        <f t="shared" si="6"/>
        <v>低于安全库存</v>
      </c>
      <c r="L115" s="10">
        <f t="shared" si="7"/>
        <v>82.646</v>
      </c>
      <c r="M115" s="10">
        <v>15</v>
      </c>
      <c r="N115" s="6" t="s">
        <v>438</v>
      </c>
      <c r="O115" s="6" t="s">
        <v>49</v>
      </c>
    </row>
    <row r="116" ht="14.4" spans="1:15">
      <c r="A116" s="6" t="s">
        <v>612</v>
      </c>
      <c r="B116" s="6" t="s">
        <v>605</v>
      </c>
      <c r="C116" s="6" t="s">
        <v>21</v>
      </c>
      <c r="D116" s="6" t="s">
        <v>437</v>
      </c>
      <c r="E116" s="9">
        <v>80</v>
      </c>
      <c r="F116" s="9">
        <f>SUMIFS(BOM用料!$N$5:$N$244,BOM用料!$E$5:$E$244,A116)</f>
        <v>57.33</v>
      </c>
      <c r="G116" s="9">
        <f>SUMIFS(入库明细!$O$5:$O$204,入库明细!$G$5:$G$204,A116,入库明细!$Q$5:$Q$204,"&lt;&gt;不合格",入库明细!$Q$5:$Q$204,"&lt;&gt;退货")</f>
        <v>0</v>
      </c>
      <c r="H116" s="9">
        <f>SUMIFS(出库明细!$O$5:$O$204,出库明细!$G$5:$G$204,A116)</f>
        <v>0</v>
      </c>
      <c r="I116" s="9">
        <f t="shared" si="4"/>
        <v>0</v>
      </c>
      <c r="J116" s="9">
        <f t="shared" si="5"/>
        <v>-57.33</v>
      </c>
      <c r="K116" s="6" t="str">
        <f t="shared" si="6"/>
        <v>低于安全库存</v>
      </c>
      <c r="L116" s="10">
        <f t="shared" si="7"/>
        <v>137.33</v>
      </c>
      <c r="M116" s="10">
        <v>15</v>
      </c>
      <c r="N116" s="6" t="s">
        <v>438</v>
      </c>
      <c r="O116" s="6" t="s">
        <v>49</v>
      </c>
    </row>
    <row r="117" ht="14.4" spans="1:15">
      <c r="A117" s="6" t="s">
        <v>613</v>
      </c>
      <c r="B117" s="6" t="s">
        <v>594</v>
      </c>
      <c r="C117" s="6" t="s">
        <v>20</v>
      </c>
      <c r="D117" s="6" t="s">
        <v>441</v>
      </c>
      <c r="E117" s="9">
        <v>30</v>
      </c>
      <c r="F117" s="9">
        <f>SUMIFS(BOM用料!$N$5:$N$244,BOM用料!$E$5:$E$244,A117)</f>
        <v>56.238</v>
      </c>
      <c r="G117" s="9">
        <f>SUMIFS(入库明细!$O$5:$O$204,入库明细!$G$5:$G$204,A117,入库明细!$Q$5:$Q$204,"&lt;&gt;不合格",入库明细!$Q$5:$Q$204,"&lt;&gt;退货")</f>
        <v>0</v>
      </c>
      <c r="H117" s="9">
        <f>SUMIFS(出库明细!$O$5:$O$204,出库明细!$G$5:$G$204,A117)</f>
        <v>0</v>
      </c>
      <c r="I117" s="9">
        <f t="shared" si="4"/>
        <v>0</v>
      </c>
      <c r="J117" s="9">
        <f t="shared" si="5"/>
        <v>-56.238</v>
      </c>
      <c r="K117" s="6" t="str">
        <f t="shared" si="6"/>
        <v>低于安全库存</v>
      </c>
      <c r="L117" s="10">
        <f t="shared" si="7"/>
        <v>86.238</v>
      </c>
      <c r="M117" s="10">
        <v>20</v>
      </c>
      <c r="N117" s="6" t="s">
        <v>442</v>
      </c>
      <c r="O117" s="6" t="s">
        <v>49</v>
      </c>
    </row>
    <row r="118" ht="14.4" spans="1:15">
      <c r="A118" s="6" t="s">
        <v>614</v>
      </c>
      <c r="B118" s="6" t="s">
        <v>605</v>
      </c>
      <c r="C118" s="6" t="s">
        <v>21</v>
      </c>
      <c r="D118" s="6" t="s">
        <v>437</v>
      </c>
      <c r="E118" s="9">
        <v>80</v>
      </c>
      <c r="F118" s="9">
        <f>SUMIFS(BOM用料!$N$5:$N$244,BOM用料!$E$5:$E$244,A118)</f>
        <v>225.225</v>
      </c>
      <c r="G118" s="9">
        <f>SUMIFS(入库明细!$O$5:$O$204,入库明细!$G$5:$G$204,A118,入库明细!$Q$5:$Q$204,"&lt;&gt;不合格",入库明细!$Q$5:$Q$204,"&lt;&gt;退货")</f>
        <v>0</v>
      </c>
      <c r="H118" s="9">
        <f>SUMIFS(出库明细!$O$5:$O$204,出库明细!$G$5:$G$204,A118)</f>
        <v>0</v>
      </c>
      <c r="I118" s="9">
        <f t="shared" si="4"/>
        <v>0</v>
      </c>
      <c r="J118" s="9">
        <f t="shared" si="5"/>
        <v>-225.225</v>
      </c>
      <c r="K118" s="6" t="str">
        <f t="shared" si="6"/>
        <v>低于安全库存</v>
      </c>
      <c r="L118" s="10">
        <f t="shared" si="7"/>
        <v>305.225</v>
      </c>
      <c r="M118" s="10">
        <v>15</v>
      </c>
      <c r="N118" s="6" t="s">
        <v>438</v>
      </c>
      <c r="O118" s="6" t="s">
        <v>49</v>
      </c>
    </row>
    <row r="119" ht="14.4" spans="1:15">
      <c r="A119" s="6" t="s">
        <v>615</v>
      </c>
      <c r="B119" s="6" t="s">
        <v>607</v>
      </c>
      <c r="C119" s="6" t="s">
        <v>21</v>
      </c>
      <c r="D119" s="6" t="s">
        <v>437</v>
      </c>
      <c r="E119" s="9">
        <v>80</v>
      </c>
      <c r="F119" s="9">
        <f>SUMIFS(BOM用料!$N$5:$N$244,BOM用料!$E$5:$E$244,A119)</f>
        <v>3.465</v>
      </c>
      <c r="G119" s="9">
        <f>SUMIFS(入库明细!$O$5:$O$204,入库明细!$G$5:$G$204,A119,入库明细!$Q$5:$Q$204,"&lt;&gt;不合格",入库明细!$Q$5:$Q$204,"&lt;&gt;退货")</f>
        <v>0</v>
      </c>
      <c r="H119" s="9">
        <f>SUMIFS(出库明细!$O$5:$O$204,出库明细!$G$5:$G$204,A119)</f>
        <v>0</v>
      </c>
      <c r="I119" s="9">
        <f t="shared" si="4"/>
        <v>0</v>
      </c>
      <c r="J119" s="9">
        <f t="shared" si="5"/>
        <v>-3.465</v>
      </c>
      <c r="K119" s="6" t="str">
        <f t="shared" si="6"/>
        <v>低于安全库存</v>
      </c>
      <c r="L119" s="10">
        <f t="shared" si="7"/>
        <v>83.465</v>
      </c>
      <c r="M119" s="10">
        <v>15</v>
      </c>
      <c r="N119" s="6" t="s">
        <v>438</v>
      </c>
      <c r="O119" s="6" t="s">
        <v>49</v>
      </c>
    </row>
    <row r="120" ht="14.4" spans="1:15">
      <c r="A120" s="6" t="s">
        <v>616</v>
      </c>
      <c r="B120" s="6" t="s">
        <v>605</v>
      </c>
      <c r="C120" s="6" t="s">
        <v>21</v>
      </c>
      <c r="D120" s="6" t="s">
        <v>437</v>
      </c>
      <c r="E120" s="9">
        <v>80</v>
      </c>
      <c r="F120" s="9">
        <f>SUMIFS(BOM用料!$N$5:$N$244,BOM用料!$E$5:$E$244,A120)</f>
        <v>225.225</v>
      </c>
      <c r="G120" s="9">
        <f>SUMIFS(入库明细!$O$5:$O$204,入库明细!$G$5:$G$204,A120,入库明细!$Q$5:$Q$204,"&lt;&gt;不合格",入库明细!$Q$5:$Q$204,"&lt;&gt;退货")</f>
        <v>0</v>
      </c>
      <c r="H120" s="9">
        <f>SUMIFS(出库明细!$O$5:$O$204,出库明细!$G$5:$G$204,A120)</f>
        <v>0</v>
      </c>
      <c r="I120" s="9">
        <f t="shared" si="4"/>
        <v>0</v>
      </c>
      <c r="J120" s="9">
        <f t="shared" si="5"/>
        <v>-225.225</v>
      </c>
      <c r="K120" s="6" t="str">
        <f t="shared" si="6"/>
        <v>低于安全库存</v>
      </c>
      <c r="L120" s="10">
        <f t="shared" si="7"/>
        <v>305.225</v>
      </c>
      <c r="M120" s="10">
        <v>15</v>
      </c>
      <c r="N120" s="6" t="s">
        <v>438</v>
      </c>
      <c r="O120" s="6" t="s">
        <v>49</v>
      </c>
    </row>
    <row r="121" ht="14.4" spans="1:15">
      <c r="A121" s="6" t="s">
        <v>617</v>
      </c>
      <c r="B121" s="6" t="s">
        <v>594</v>
      </c>
      <c r="C121" s="6" t="s">
        <v>20</v>
      </c>
      <c r="D121" s="6" t="s">
        <v>441</v>
      </c>
      <c r="E121" s="9">
        <v>30</v>
      </c>
      <c r="F121" s="9">
        <f>SUMIFS(BOM用料!$N$5:$N$244,BOM用料!$E$5:$E$244,A121)</f>
        <v>220.935</v>
      </c>
      <c r="G121" s="9">
        <f>SUMIFS(入库明细!$O$5:$O$204,入库明细!$G$5:$G$204,A121,入库明细!$Q$5:$Q$204,"&lt;&gt;不合格",入库明细!$Q$5:$Q$204,"&lt;&gt;退货")</f>
        <v>0</v>
      </c>
      <c r="H121" s="9">
        <f>SUMIFS(出库明细!$O$5:$O$204,出库明细!$G$5:$G$204,A121)</f>
        <v>0</v>
      </c>
      <c r="I121" s="9">
        <f t="shared" si="4"/>
        <v>0</v>
      </c>
      <c r="J121" s="9">
        <f t="shared" si="5"/>
        <v>-220.935</v>
      </c>
      <c r="K121" s="6" t="str">
        <f t="shared" si="6"/>
        <v>低于安全库存</v>
      </c>
      <c r="L121" s="10">
        <f t="shared" si="7"/>
        <v>250.935</v>
      </c>
      <c r="M121" s="10">
        <v>20</v>
      </c>
      <c r="N121" s="6" t="s">
        <v>442</v>
      </c>
      <c r="O121" s="6" t="s">
        <v>49</v>
      </c>
    </row>
    <row r="122" ht="14.4" spans="1:15">
      <c r="A122" s="6" t="s">
        <v>618</v>
      </c>
      <c r="B122" s="6" t="s">
        <v>619</v>
      </c>
      <c r="C122" s="6" t="s">
        <v>21</v>
      </c>
      <c r="D122" s="6" t="s">
        <v>437</v>
      </c>
      <c r="E122" s="9">
        <v>80</v>
      </c>
      <c r="F122" s="9">
        <f>SUMIFS(BOM用料!$N$5:$N$244,BOM用料!$E$5:$E$244,A122)</f>
        <v>465.696</v>
      </c>
      <c r="G122" s="9">
        <f>SUMIFS(入库明细!$O$5:$O$204,入库明细!$G$5:$G$204,A122,入库明细!$Q$5:$Q$204,"&lt;&gt;不合格",入库明细!$Q$5:$Q$204,"&lt;&gt;退货")</f>
        <v>0</v>
      </c>
      <c r="H122" s="9">
        <f>SUMIFS(出库明细!$O$5:$O$204,出库明细!$G$5:$G$204,A122)</f>
        <v>0</v>
      </c>
      <c r="I122" s="9">
        <f t="shared" si="4"/>
        <v>0</v>
      </c>
      <c r="J122" s="9">
        <f t="shared" si="5"/>
        <v>-465.696</v>
      </c>
      <c r="K122" s="6" t="str">
        <f t="shared" si="6"/>
        <v>低于安全库存</v>
      </c>
      <c r="L122" s="10">
        <f t="shared" si="7"/>
        <v>545.696</v>
      </c>
      <c r="M122" s="10">
        <v>15</v>
      </c>
      <c r="N122" s="6" t="s">
        <v>438</v>
      </c>
      <c r="O122" s="6" t="s">
        <v>49</v>
      </c>
    </row>
    <row r="123" ht="14.4" spans="1:15">
      <c r="A123" s="6" t="s">
        <v>620</v>
      </c>
      <c r="B123" s="6" t="s">
        <v>607</v>
      </c>
      <c r="C123" s="6" t="s">
        <v>20</v>
      </c>
      <c r="D123" s="6" t="s">
        <v>441</v>
      </c>
      <c r="E123" s="9">
        <v>30</v>
      </c>
      <c r="F123" s="9">
        <f>SUMIFS(BOM用料!$N$5:$N$244,BOM用料!$E$5:$E$244,A123)</f>
        <v>24.11024</v>
      </c>
      <c r="G123" s="9">
        <f>SUMIFS(入库明细!$O$5:$O$204,入库明细!$G$5:$G$204,A123,入库明细!$Q$5:$Q$204,"&lt;&gt;不合格",入库明细!$Q$5:$Q$204,"&lt;&gt;退货")</f>
        <v>0</v>
      </c>
      <c r="H123" s="9">
        <f>SUMIFS(出库明细!$O$5:$O$204,出库明细!$G$5:$G$204,A123)</f>
        <v>0</v>
      </c>
      <c r="I123" s="9">
        <f t="shared" si="4"/>
        <v>0</v>
      </c>
      <c r="J123" s="9">
        <f t="shared" si="5"/>
        <v>-24.11024</v>
      </c>
      <c r="K123" s="6" t="str">
        <f t="shared" si="6"/>
        <v>低于安全库存</v>
      </c>
      <c r="L123" s="10">
        <f t="shared" si="7"/>
        <v>54.11024</v>
      </c>
      <c r="M123" s="10">
        <v>20</v>
      </c>
      <c r="N123" s="6" t="s">
        <v>442</v>
      </c>
      <c r="O123" s="6" t="s">
        <v>49</v>
      </c>
    </row>
    <row r="124" ht="14.4" spans="1:15">
      <c r="A124" s="6" t="s">
        <v>621</v>
      </c>
      <c r="B124" s="6" t="s">
        <v>622</v>
      </c>
      <c r="C124" s="6" t="s">
        <v>21</v>
      </c>
      <c r="D124" s="6" t="s">
        <v>437</v>
      </c>
      <c r="E124" s="9">
        <v>80</v>
      </c>
      <c r="F124" s="9">
        <f>SUMIFS(BOM用料!$N$5:$N$244,BOM用料!$E$5:$E$244,A124)</f>
        <v>465.696</v>
      </c>
      <c r="G124" s="9">
        <f>SUMIFS(入库明细!$O$5:$O$204,入库明细!$G$5:$G$204,A124,入库明细!$Q$5:$Q$204,"&lt;&gt;不合格",入库明细!$Q$5:$Q$204,"&lt;&gt;退货")</f>
        <v>0</v>
      </c>
      <c r="H124" s="9">
        <f>SUMIFS(出库明细!$O$5:$O$204,出库明细!$G$5:$G$204,A124)</f>
        <v>0</v>
      </c>
      <c r="I124" s="9">
        <f t="shared" si="4"/>
        <v>0</v>
      </c>
      <c r="J124" s="9">
        <f t="shared" si="5"/>
        <v>-465.696</v>
      </c>
      <c r="K124" s="6" t="str">
        <f t="shared" si="6"/>
        <v>低于安全库存</v>
      </c>
      <c r="L124" s="10">
        <f t="shared" si="7"/>
        <v>545.696</v>
      </c>
      <c r="M124" s="10">
        <v>15</v>
      </c>
      <c r="N124" s="6" t="s">
        <v>438</v>
      </c>
      <c r="O124" s="6" t="s">
        <v>49</v>
      </c>
    </row>
    <row r="125" ht="14.4" spans="1:15">
      <c r="A125" s="6" t="s">
        <v>623</v>
      </c>
      <c r="B125" s="6" t="s">
        <v>564</v>
      </c>
      <c r="C125" s="6" t="s">
        <v>20</v>
      </c>
      <c r="D125" s="6" t="s">
        <v>441</v>
      </c>
      <c r="E125" s="9">
        <v>30</v>
      </c>
      <c r="F125" s="9">
        <f>SUMIFS(BOM用料!$N$5:$N$244,BOM用料!$E$5:$E$244,A125)</f>
        <v>456.8256</v>
      </c>
      <c r="G125" s="9">
        <f>SUMIFS(入库明细!$O$5:$O$204,入库明细!$G$5:$G$204,A125,入库明细!$Q$5:$Q$204,"&lt;&gt;不合格",入库明细!$Q$5:$Q$204,"&lt;&gt;退货")</f>
        <v>0</v>
      </c>
      <c r="H125" s="9">
        <f>SUMIFS(出库明细!$O$5:$O$204,出库明细!$G$5:$G$204,A125)</f>
        <v>0</v>
      </c>
      <c r="I125" s="9">
        <f t="shared" si="4"/>
        <v>0</v>
      </c>
      <c r="J125" s="9">
        <f t="shared" si="5"/>
        <v>-456.8256</v>
      </c>
      <c r="K125" s="6" t="str">
        <f t="shared" si="6"/>
        <v>低于安全库存</v>
      </c>
      <c r="L125" s="10">
        <f t="shared" si="7"/>
        <v>486.8256</v>
      </c>
      <c r="M125" s="10">
        <v>20</v>
      </c>
      <c r="N125" s="6" t="s">
        <v>442</v>
      </c>
      <c r="O125" s="6" t="s">
        <v>49</v>
      </c>
    </row>
    <row r="126" ht="14.4" spans="1:15">
      <c r="A126" s="6" t="s">
        <v>624</v>
      </c>
      <c r="B126" s="6" t="s">
        <v>545</v>
      </c>
      <c r="C126" s="6" t="s">
        <v>20</v>
      </c>
      <c r="D126" s="6" t="s">
        <v>441</v>
      </c>
      <c r="E126" s="9">
        <v>30</v>
      </c>
      <c r="F126" s="9">
        <f>SUMIFS(BOM用料!$N$5:$N$244,BOM用料!$E$5:$E$244,A126)</f>
        <v>456.8256</v>
      </c>
      <c r="G126" s="9">
        <f>SUMIFS(入库明细!$O$5:$O$204,入库明细!$G$5:$G$204,A126,入库明细!$Q$5:$Q$204,"&lt;&gt;不合格",入库明细!$Q$5:$Q$204,"&lt;&gt;退货")</f>
        <v>0</v>
      </c>
      <c r="H126" s="9">
        <f>SUMIFS(出库明细!$O$5:$O$204,出库明细!$G$5:$G$204,A126)</f>
        <v>0</v>
      </c>
      <c r="I126" s="9">
        <f t="shared" si="4"/>
        <v>0</v>
      </c>
      <c r="J126" s="9">
        <f t="shared" si="5"/>
        <v>-456.8256</v>
      </c>
      <c r="K126" s="6" t="str">
        <f t="shared" si="6"/>
        <v>低于安全库存</v>
      </c>
      <c r="L126" s="10">
        <f t="shared" si="7"/>
        <v>486.8256</v>
      </c>
      <c r="M126" s="10">
        <v>20</v>
      </c>
      <c r="N126" s="6" t="s">
        <v>442</v>
      </c>
      <c r="O126" s="6" t="s">
        <v>49</v>
      </c>
    </row>
    <row r="127" ht="14.4" spans="1:15">
      <c r="A127" s="6" t="s">
        <v>625</v>
      </c>
      <c r="B127" s="6" t="s">
        <v>626</v>
      </c>
      <c r="C127" s="6" t="s">
        <v>21</v>
      </c>
      <c r="D127" s="6" t="s">
        <v>437</v>
      </c>
      <c r="E127" s="9">
        <v>80</v>
      </c>
      <c r="F127" s="9">
        <f>SUMIFS(BOM用料!$N$5:$N$244,BOM用料!$E$5:$E$244,A127)</f>
        <v>465.696</v>
      </c>
      <c r="G127" s="9">
        <f>SUMIFS(入库明细!$O$5:$O$204,入库明细!$G$5:$G$204,A127,入库明细!$Q$5:$Q$204,"&lt;&gt;不合格",入库明细!$Q$5:$Q$204,"&lt;&gt;退货")</f>
        <v>0</v>
      </c>
      <c r="H127" s="9">
        <f>SUMIFS(出库明细!$O$5:$O$204,出库明细!$G$5:$G$204,A127)</f>
        <v>0</v>
      </c>
      <c r="I127" s="9">
        <f t="shared" si="4"/>
        <v>0</v>
      </c>
      <c r="J127" s="9">
        <f t="shared" si="5"/>
        <v>-465.696</v>
      </c>
      <c r="K127" s="6" t="str">
        <f t="shared" si="6"/>
        <v>低于安全库存</v>
      </c>
      <c r="L127" s="10">
        <f t="shared" si="7"/>
        <v>545.696</v>
      </c>
      <c r="M127" s="10">
        <v>15</v>
      </c>
      <c r="N127" s="6" t="s">
        <v>438</v>
      </c>
      <c r="O127" s="6" t="s">
        <v>49</v>
      </c>
    </row>
    <row r="128" ht="14.4" spans="1:15">
      <c r="A128" s="6" t="s">
        <v>627</v>
      </c>
      <c r="B128" s="6" t="s">
        <v>628</v>
      </c>
      <c r="C128" s="6" t="s">
        <v>21</v>
      </c>
      <c r="D128" s="6" t="s">
        <v>437</v>
      </c>
      <c r="E128" s="9">
        <v>80</v>
      </c>
      <c r="F128" s="9">
        <f>SUMIFS(BOM用料!$N$5:$N$244,BOM用料!$E$5:$E$244,A128)</f>
        <v>465.696</v>
      </c>
      <c r="G128" s="9">
        <f>SUMIFS(入库明细!$O$5:$O$204,入库明细!$G$5:$G$204,A128,入库明细!$Q$5:$Q$204,"&lt;&gt;不合格",入库明细!$Q$5:$Q$204,"&lt;&gt;退货")</f>
        <v>0</v>
      </c>
      <c r="H128" s="9">
        <f>SUMIFS(出库明细!$O$5:$O$204,出库明细!$G$5:$G$204,A128)</f>
        <v>0</v>
      </c>
      <c r="I128" s="9">
        <f t="shared" si="4"/>
        <v>0</v>
      </c>
      <c r="J128" s="9">
        <f t="shared" si="5"/>
        <v>-465.696</v>
      </c>
      <c r="K128" s="6" t="str">
        <f t="shared" si="6"/>
        <v>低于安全库存</v>
      </c>
      <c r="L128" s="10">
        <f t="shared" si="7"/>
        <v>545.696</v>
      </c>
      <c r="M128" s="10">
        <v>15</v>
      </c>
      <c r="N128" s="6" t="s">
        <v>438</v>
      </c>
      <c r="O128" s="6" t="s">
        <v>49</v>
      </c>
    </row>
    <row r="129" ht="14.4" spans="1:15">
      <c r="A129" s="6" t="s">
        <v>629</v>
      </c>
      <c r="B129" s="6" t="s">
        <v>605</v>
      </c>
      <c r="C129" s="6" t="s">
        <v>21</v>
      </c>
      <c r="D129" s="6" t="s">
        <v>437</v>
      </c>
      <c r="E129" s="9">
        <v>80</v>
      </c>
      <c r="F129" s="9">
        <f>SUMIFS(BOM用料!$N$5:$N$244,BOM用料!$E$5:$E$244,A129)</f>
        <v>70.686</v>
      </c>
      <c r="G129" s="9">
        <f>SUMIFS(入库明细!$O$5:$O$204,入库明细!$G$5:$G$204,A129,入库明细!$Q$5:$Q$204,"&lt;&gt;不合格",入库明细!$Q$5:$Q$204,"&lt;&gt;退货")</f>
        <v>0</v>
      </c>
      <c r="H129" s="9">
        <f>SUMIFS(出库明细!$O$5:$O$204,出库明细!$G$5:$G$204,A129)</f>
        <v>0</v>
      </c>
      <c r="I129" s="9">
        <f t="shared" si="4"/>
        <v>0</v>
      </c>
      <c r="J129" s="9">
        <f t="shared" si="5"/>
        <v>-70.686</v>
      </c>
      <c r="K129" s="6" t="str">
        <f t="shared" si="6"/>
        <v>低于安全库存</v>
      </c>
      <c r="L129" s="10">
        <f t="shared" si="7"/>
        <v>150.686</v>
      </c>
      <c r="M129" s="10">
        <v>15</v>
      </c>
      <c r="N129" s="6" t="s">
        <v>438</v>
      </c>
      <c r="O129" s="6" t="s">
        <v>49</v>
      </c>
    </row>
    <row r="130" ht="14.4" spans="1:15">
      <c r="A130" s="6" t="s">
        <v>630</v>
      </c>
      <c r="B130" s="6" t="s">
        <v>607</v>
      </c>
      <c r="C130" s="6" t="s">
        <v>20</v>
      </c>
      <c r="D130" s="6" t="s">
        <v>441</v>
      </c>
      <c r="E130" s="9">
        <v>30</v>
      </c>
      <c r="F130" s="9">
        <f>SUMIFS(BOM用料!$N$5:$N$244,BOM用料!$E$5:$E$244,A130)</f>
        <v>3.57204</v>
      </c>
      <c r="G130" s="9">
        <f>SUMIFS(入库明细!$O$5:$O$204,入库明细!$G$5:$G$204,A130,入库明细!$Q$5:$Q$204,"&lt;&gt;不合格",入库明细!$Q$5:$Q$204,"&lt;&gt;退货")</f>
        <v>0</v>
      </c>
      <c r="H130" s="9">
        <f>SUMIFS(出库明细!$O$5:$O$204,出库明细!$G$5:$G$204,A130)</f>
        <v>0</v>
      </c>
      <c r="I130" s="9">
        <f t="shared" si="4"/>
        <v>0</v>
      </c>
      <c r="J130" s="9">
        <f t="shared" si="5"/>
        <v>-3.57204</v>
      </c>
      <c r="K130" s="6" t="str">
        <f t="shared" si="6"/>
        <v>低于安全库存</v>
      </c>
      <c r="L130" s="10">
        <f t="shared" si="7"/>
        <v>33.57204</v>
      </c>
      <c r="M130" s="10">
        <v>20</v>
      </c>
      <c r="N130" s="6" t="s">
        <v>442</v>
      </c>
      <c r="O130" s="6" t="s">
        <v>49</v>
      </c>
    </row>
    <row r="131" ht="14.4" spans="1:15">
      <c r="A131" s="6" t="s">
        <v>631</v>
      </c>
      <c r="B131" s="6" t="s">
        <v>632</v>
      </c>
      <c r="C131" s="6" t="s">
        <v>21</v>
      </c>
      <c r="D131" s="6" t="s">
        <v>437</v>
      </c>
      <c r="E131" s="9">
        <v>80</v>
      </c>
      <c r="F131" s="9">
        <f>SUMIFS(BOM用料!$N$5:$N$244,BOM用料!$E$5:$E$244,A131)</f>
        <v>1.071</v>
      </c>
      <c r="G131" s="9">
        <f>SUMIFS(入库明细!$O$5:$O$204,入库明细!$G$5:$G$204,A131,入库明细!$Q$5:$Q$204,"&lt;&gt;不合格",入库明细!$Q$5:$Q$204,"&lt;&gt;退货")</f>
        <v>0</v>
      </c>
      <c r="H131" s="9">
        <f>SUMIFS(出库明细!$O$5:$O$204,出库明细!$G$5:$G$204,A131)</f>
        <v>0</v>
      </c>
      <c r="I131" s="9">
        <f t="shared" si="4"/>
        <v>0</v>
      </c>
      <c r="J131" s="9">
        <f t="shared" si="5"/>
        <v>-1.071</v>
      </c>
      <c r="K131" s="6" t="str">
        <f t="shared" si="6"/>
        <v>低于安全库存</v>
      </c>
      <c r="L131" s="10">
        <f t="shared" si="7"/>
        <v>81.071</v>
      </c>
      <c r="M131" s="10">
        <v>15</v>
      </c>
      <c r="N131" s="6" t="s">
        <v>438</v>
      </c>
      <c r="O131" s="6" t="s">
        <v>49</v>
      </c>
    </row>
    <row r="132" ht="14.4" spans="1:15">
      <c r="A132" s="6" t="s">
        <v>633</v>
      </c>
      <c r="B132" s="6" t="s">
        <v>564</v>
      </c>
      <c r="C132" s="6" t="s">
        <v>20</v>
      </c>
      <c r="D132" s="6" t="s">
        <v>441</v>
      </c>
      <c r="E132" s="9">
        <v>30</v>
      </c>
      <c r="F132" s="9">
        <f>SUMIFS(BOM用料!$N$5:$N$244,BOM用料!$E$5:$E$244,A132)</f>
        <v>69.3396</v>
      </c>
      <c r="G132" s="9">
        <f>SUMIFS(入库明细!$O$5:$O$204,入库明细!$G$5:$G$204,A132,入库明细!$Q$5:$Q$204,"&lt;&gt;不合格",入库明细!$Q$5:$Q$204,"&lt;&gt;退货")</f>
        <v>0</v>
      </c>
      <c r="H132" s="9">
        <f>SUMIFS(出库明细!$O$5:$O$204,出库明细!$G$5:$G$204,A132)</f>
        <v>0</v>
      </c>
      <c r="I132" s="9">
        <f t="shared" si="4"/>
        <v>0</v>
      </c>
      <c r="J132" s="9">
        <f t="shared" si="5"/>
        <v>-69.3396</v>
      </c>
      <c r="K132" s="6" t="str">
        <f t="shared" si="6"/>
        <v>低于安全库存</v>
      </c>
      <c r="L132" s="10">
        <f t="shared" si="7"/>
        <v>99.3396</v>
      </c>
      <c r="M132" s="10">
        <v>20</v>
      </c>
      <c r="N132" s="6" t="s">
        <v>442</v>
      </c>
      <c r="O132" s="6" t="s">
        <v>49</v>
      </c>
    </row>
    <row r="133" ht="14.4" spans="1:15">
      <c r="A133" s="6" t="s">
        <v>634</v>
      </c>
      <c r="B133" s="6" t="s">
        <v>545</v>
      </c>
      <c r="C133" s="6" t="s">
        <v>20</v>
      </c>
      <c r="D133" s="6" t="s">
        <v>441</v>
      </c>
      <c r="E133" s="9">
        <v>30</v>
      </c>
      <c r="F133" s="9">
        <f>SUMIFS(BOM用料!$N$5:$N$244,BOM用料!$E$5:$E$244,A133)</f>
        <v>69.3396</v>
      </c>
      <c r="G133" s="9">
        <f>SUMIFS(入库明细!$O$5:$O$204,入库明细!$G$5:$G$204,A133,入库明细!$Q$5:$Q$204,"&lt;&gt;不合格",入库明细!$Q$5:$Q$204,"&lt;&gt;退货")</f>
        <v>0</v>
      </c>
      <c r="H133" s="9">
        <f>SUMIFS(出库明细!$O$5:$O$204,出库明细!$G$5:$G$204,A133)</f>
        <v>0</v>
      </c>
      <c r="I133" s="9">
        <f t="shared" ref="I133:I164" si="8">G133-H133</f>
        <v>0</v>
      </c>
      <c r="J133" s="9">
        <f t="shared" ref="J133:J164" si="9">I133-F133</f>
        <v>-69.3396</v>
      </c>
      <c r="K133" s="6" t="str">
        <f t="shared" ref="K133:K164" si="10">IF(I133&lt;0,"负库存",IF(I133&lt;E133,"低于安全库存",IF(J133&lt;0,"订单缺料","正常")))</f>
        <v>低于安全库存</v>
      </c>
      <c r="L133" s="10">
        <f t="shared" ref="L133:L164" si="11">IF(K133="正常",0,MAX(E133+F133-I133,0))</f>
        <v>99.3396</v>
      </c>
      <c r="M133" s="10">
        <v>20</v>
      </c>
      <c r="N133" s="6" t="s">
        <v>442</v>
      </c>
      <c r="O133" s="6" t="s">
        <v>49</v>
      </c>
    </row>
    <row r="134" ht="14.4" spans="1:15">
      <c r="A134" s="6" t="s">
        <v>635</v>
      </c>
      <c r="B134" s="6" t="s">
        <v>636</v>
      </c>
      <c r="C134" s="6" t="s">
        <v>21</v>
      </c>
      <c r="D134" s="6" t="s">
        <v>437</v>
      </c>
      <c r="E134" s="9">
        <v>80</v>
      </c>
      <c r="F134" s="9">
        <f>SUMIFS(BOM用料!$N$5:$N$244,BOM用料!$E$5:$E$244,A134)</f>
        <v>70.686</v>
      </c>
      <c r="G134" s="9">
        <f>SUMIFS(入库明细!$O$5:$O$204,入库明细!$G$5:$G$204,A134,入库明细!$Q$5:$Q$204,"&lt;&gt;不合格",入库明细!$Q$5:$Q$204,"&lt;&gt;退货")</f>
        <v>0</v>
      </c>
      <c r="H134" s="9">
        <f>SUMIFS(出库明细!$O$5:$O$204,出库明细!$G$5:$G$204,A134)</f>
        <v>0</v>
      </c>
      <c r="I134" s="9">
        <f t="shared" si="8"/>
        <v>0</v>
      </c>
      <c r="J134" s="9">
        <f t="shared" si="9"/>
        <v>-70.686</v>
      </c>
      <c r="K134" s="6" t="str">
        <f t="shared" si="10"/>
        <v>低于安全库存</v>
      </c>
      <c r="L134" s="10">
        <f t="shared" si="11"/>
        <v>150.686</v>
      </c>
      <c r="M134" s="10">
        <v>15</v>
      </c>
      <c r="N134" s="6" t="s">
        <v>438</v>
      </c>
      <c r="O134" s="6" t="s">
        <v>49</v>
      </c>
    </row>
    <row r="135" ht="14.4" spans="1:15">
      <c r="A135" s="6" t="s">
        <v>637</v>
      </c>
      <c r="B135" s="6" t="s">
        <v>638</v>
      </c>
      <c r="C135" s="6" t="s">
        <v>21</v>
      </c>
      <c r="D135" s="6" t="s">
        <v>437</v>
      </c>
      <c r="E135" s="9">
        <v>80</v>
      </c>
      <c r="F135" s="9">
        <f>SUMIFS(BOM用料!$N$5:$N$244,BOM用料!$E$5:$E$244,A135)</f>
        <v>70.686</v>
      </c>
      <c r="G135" s="9">
        <f>SUMIFS(入库明细!$O$5:$O$204,入库明细!$G$5:$G$204,A135,入库明细!$Q$5:$Q$204,"&lt;&gt;不合格",入库明细!$Q$5:$Q$204,"&lt;&gt;退货")</f>
        <v>0</v>
      </c>
      <c r="H135" s="9">
        <f>SUMIFS(出库明细!$O$5:$O$204,出库明细!$G$5:$G$204,A135)</f>
        <v>0</v>
      </c>
      <c r="I135" s="9">
        <f t="shared" si="8"/>
        <v>0</v>
      </c>
      <c r="J135" s="9">
        <f t="shared" si="9"/>
        <v>-70.686</v>
      </c>
      <c r="K135" s="6" t="str">
        <f t="shared" si="10"/>
        <v>低于安全库存</v>
      </c>
      <c r="L135" s="10">
        <f t="shared" si="11"/>
        <v>150.686</v>
      </c>
      <c r="M135" s="10">
        <v>15</v>
      </c>
      <c r="N135" s="6" t="s">
        <v>438</v>
      </c>
      <c r="O135" s="6" t="s">
        <v>49</v>
      </c>
    </row>
    <row r="136" ht="14.4" spans="1:15">
      <c r="A136" s="6" t="s">
        <v>639</v>
      </c>
      <c r="B136" s="6" t="s">
        <v>605</v>
      </c>
      <c r="C136" s="6" t="s">
        <v>21</v>
      </c>
      <c r="D136" s="6" t="s">
        <v>437</v>
      </c>
      <c r="E136" s="9">
        <v>80</v>
      </c>
      <c r="F136" s="9">
        <f>SUMIFS(BOM用料!$N$5:$N$244,BOM用料!$E$5:$E$244,A136)</f>
        <v>147.798</v>
      </c>
      <c r="G136" s="9">
        <f>SUMIFS(入库明细!$O$5:$O$204,入库明细!$G$5:$G$204,A136,入库明细!$Q$5:$Q$204,"&lt;&gt;不合格",入库明细!$Q$5:$Q$204,"&lt;&gt;退货")</f>
        <v>0</v>
      </c>
      <c r="H136" s="9">
        <f>SUMIFS(出库明细!$O$5:$O$204,出库明细!$G$5:$G$204,A136)</f>
        <v>0</v>
      </c>
      <c r="I136" s="9">
        <f t="shared" si="8"/>
        <v>0</v>
      </c>
      <c r="J136" s="9">
        <f t="shared" si="9"/>
        <v>-147.798</v>
      </c>
      <c r="K136" s="6" t="str">
        <f t="shared" si="10"/>
        <v>低于安全库存</v>
      </c>
      <c r="L136" s="10">
        <f t="shared" si="11"/>
        <v>227.798</v>
      </c>
      <c r="M136" s="10">
        <v>15</v>
      </c>
      <c r="N136" s="6" t="s">
        <v>438</v>
      </c>
      <c r="O136" s="6" t="s">
        <v>49</v>
      </c>
    </row>
    <row r="137" ht="14.4" spans="1:15">
      <c r="A137" s="6" t="s">
        <v>640</v>
      </c>
      <c r="B137" s="6" t="s">
        <v>607</v>
      </c>
      <c r="C137" s="6" t="s">
        <v>20</v>
      </c>
      <c r="D137" s="6" t="s">
        <v>441</v>
      </c>
      <c r="E137" s="9">
        <v>30</v>
      </c>
      <c r="F137" s="9">
        <f>SUMIFS(BOM用料!$N$5:$N$244,BOM用料!$E$5:$E$244,A137)</f>
        <v>12.7926</v>
      </c>
      <c r="G137" s="9">
        <f>SUMIFS(入库明细!$O$5:$O$204,入库明细!$G$5:$G$204,A137,入库明细!$Q$5:$Q$204,"&lt;&gt;不合格",入库明细!$Q$5:$Q$204,"&lt;&gt;退货")</f>
        <v>0</v>
      </c>
      <c r="H137" s="9">
        <f>SUMIFS(出库明细!$O$5:$O$204,出库明细!$G$5:$G$204,A137)</f>
        <v>0</v>
      </c>
      <c r="I137" s="9">
        <f t="shared" si="8"/>
        <v>0</v>
      </c>
      <c r="J137" s="9">
        <f t="shared" si="9"/>
        <v>-12.7926</v>
      </c>
      <c r="K137" s="6" t="str">
        <f t="shared" si="10"/>
        <v>低于安全库存</v>
      </c>
      <c r="L137" s="10">
        <f t="shared" si="11"/>
        <v>42.7926</v>
      </c>
      <c r="M137" s="10">
        <v>20</v>
      </c>
      <c r="N137" s="6" t="s">
        <v>442</v>
      </c>
      <c r="O137" s="6" t="s">
        <v>49</v>
      </c>
    </row>
    <row r="138" ht="14.4" spans="1:15">
      <c r="A138" s="6" t="s">
        <v>641</v>
      </c>
      <c r="B138" s="6" t="s">
        <v>605</v>
      </c>
      <c r="C138" s="6" t="s">
        <v>21</v>
      </c>
      <c r="D138" s="6" t="s">
        <v>437</v>
      </c>
      <c r="E138" s="9">
        <v>80</v>
      </c>
      <c r="F138" s="9">
        <f>SUMIFS(BOM用料!$N$5:$N$244,BOM用料!$E$5:$E$244,A138)</f>
        <v>3.0429</v>
      </c>
      <c r="G138" s="9">
        <f>SUMIFS(入库明细!$O$5:$O$204,入库明细!$G$5:$G$204,A138,入库明细!$Q$5:$Q$204,"&lt;&gt;不合格",入库明细!$Q$5:$Q$204,"&lt;&gt;退货")</f>
        <v>0</v>
      </c>
      <c r="H138" s="9">
        <f>SUMIFS(出库明细!$O$5:$O$204,出库明细!$G$5:$G$204,A138)</f>
        <v>0</v>
      </c>
      <c r="I138" s="9">
        <f t="shared" si="8"/>
        <v>0</v>
      </c>
      <c r="J138" s="9">
        <f t="shared" si="9"/>
        <v>-3.0429</v>
      </c>
      <c r="K138" s="6" t="str">
        <f t="shared" si="10"/>
        <v>低于安全库存</v>
      </c>
      <c r="L138" s="10">
        <f t="shared" si="11"/>
        <v>83.0429</v>
      </c>
      <c r="M138" s="10">
        <v>15</v>
      </c>
      <c r="N138" s="6" t="s">
        <v>438</v>
      </c>
      <c r="O138" s="6" t="s">
        <v>49</v>
      </c>
    </row>
    <row r="139" ht="14.4" spans="1:15">
      <c r="A139" s="6" t="s">
        <v>642</v>
      </c>
      <c r="B139" s="6" t="s">
        <v>564</v>
      </c>
      <c r="C139" s="6" t="s">
        <v>20</v>
      </c>
      <c r="D139" s="6" t="s">
        <v>441</v>
      </c>
      <c r="E139" s="9">
        <v>30</v>
      </c>
      <c r="F139" s="9">
        <f>SUMIFS(BOM用料!$N$5:$N$244,BOM用料!$E$5:$E$244,A139)</f>
        <v>144.9828</v>
      </c>
      <c r="G139" s="9">
        <f>SUMIFS(入库明细!$O$5:$O$204,入库明细!$G$5:$G$204,A139,入库明细!$Q$5:$Q$204,"&lt;&gt;不合格",入库明细!$Q$5:$Q$204,"&lt;&gt;退货")</f>
        <v>0</v>
      </c>
      <c r="H139" s="9">
        <f>SUMIFS(出库明细!$O$5:$O$204,出库明细!$G$5:$G$204,A139)</f>
        <v>0</v>
      </c>
      <c r="I139" s="9">
        <f t="shared" si="8"/>
        <v>0</v>
      </c>
      <c r="J139" s="9">
        <f t="shared" si="9"/>
        <v>-144.9828</v>
      </c>
      <c r="K139" s="6" t="str">
        <f t="shared" si="10"/>
        <v>低于安全库存</v>
      </c>
      <c r="L139" s="10">
        <f t="shared" si="11"/>
        <v>174.9828</v>
      </c>
      <c r="M139" s="10">
        <v>20</v>
      </c>
      <c r="N139" s="6" t="s">
        <v>442</v>
      </c>
      <c r="O139" s="6" t="s">
        <v>49</v>
      </c>
    </row>
    <row r="140" ht="14.4" spans="1:15">
      <c r="A140" s="6" t="s">
        <v>643</v>
      </c>
      <c r="B140" s="6" t="s">
        <v>545</v>
      </c>
      <c r="C140" s="6" t="s">
        <v>20</v>
      </c>
      <c r="D140" s="6" t="s">
        <v>441</v>
      </c>
      <c r="E140" s="9">
        <v>30</v>
      </c>
      <c r="F140" s="9">
        <f>SUMIFS(BOM用料!$N$5:$N$244,BOM用料!$E$5:$E$244,A140)</f>
        <v>144.9828</v>
      </c>
      <c r="G140" s="9">
        <f>SUMIFS(入库明细!$O$5:$O$204,入库明细!$G$5:$G$204,A140,入库明细!$Q$5:$Q$204,"&lt;&gt;不合格",入库明细!$Q$5:$Q$204,"&lt;&gt;退货")</f>
        <v>0</v>
      </c>
      <c r="H140" s="9">
        <f>SUMIFS(出库明细!$O$5:$O$204,出库明细!$G$5:$G$204,A140)</f>
        <v>0</v>
      </c>
      <c r="I140" s="9">
        <f t="shared" si="8"/>
        <v>0</v>
      </c>
      <c r="J140" s="9">
        <f t="shared" si="9"/>
        <v>-144.9828</v>
      </c>
      <c r="K140" s="6" t="str">
        <f t="shared" si="10"/>
        <v>低于安全库存</v>
      </c>
      <c r="L140" s="10">
        <f t="shared" si="11"/>
        <v>174.9828</v>
      </c>
      <c r="M140" s="10">
        <v>20</v>
      </c>
      <c r="N140" s="6" t="s">
        <v>442</v>
      </c>
      <c r="O140" s="6" t="s">
        <v>49</v>
      </c>
    </row>
    <row r="141" ht="14.4" spans="1:15">
      <c r="A141" s="6" t="s">
        <v>644</v>
      </c>
      <c r="B141" s="6" t="s">
        <v>645</v>
      </c>
      <c r="C141" s="6" t="s">
        <v>21</v>
      </c>
      <c r="D141" s="6" t="s">
        <v>437</v>
      </c>
      <c r="E141" s="9">
        <v>80</v>
      </c>
      <c r="F141" s="9">
        <f>SUMIFS(BOM用料!$N$5:$N$244,BOM用料!$E$5:$E$244,A141)</f>
        <v>147.798</v>
      </c>
      <c r="G141" s="9">
        <f>SUMIFS(入库明细!$O$5:$O$204,入库明细!$G$5:$G$204,A141,入库明细!$Q$5:$Q$204,"&lt;&gt;不合格",入库明细!$Q$5:$Q$204,"&lt;&gt;退货")</f>
        <v>0</v>
      </c>
      <c r="H141" s="9">
        <f>SUMIFS(出库明细!$O$5:$O$204,出库明细!$G$5:$G$204,A141)</f>
        <v>0</v>
      </c>
      <c r="I141" s="9">
        <f t="shared" si="8"/>
        <v>0</v>
      </c>
      <c r="J141" s="9">
        <f t="shared" si="9"/>
        <v>-147.798</v>
      </c>
      <c r="K141" s="6" t="str">
        <f t="shared" si="10"/>
        <v>低于安全库存</v>
      </c>
      <c r="L141" s="10">
        <f t="shared" si="11"/>
        <v>227.798</v>
      </c>
      <c r="M141" s="10">
        <v>15</v>
      </c>
      <c r="N141" s="6" t="s">
        <v>438</v>
      </c>
      <c r="O141" s="6" t="s">
        <v>49</v>
      </c>
    </row>
    <row r="142" ht="14.4" spans="1:15">
      <c r="A142" s="6" t="s">
        <v>646</v>
      </c>
      <c r="B142" s="6" t="s">
        <v>647</v>
      </c>
      <c r="C142" s="6" t="s">
        <v>21</v>
      </c>
      <c r="D142" s="6" t="s">
        <v>437</v>
      </c>
      <c r="E142" s="9">
        <v>80</v>
      </c>
      <c r="F142" s="9">
        <f>SUMIFS(BOM用料!$N$5:$N$244,BOM用料!$E$5:$E$244,A142)</f>
        <v>147.798</v>
      </c>
      <c r="G142" s="9">
        <f>SUMIFS(入库明细!$O$5:$O$204,入库明细!$G$5:$G$204,A142,入库明细!$Q$5:$Q$204,"&lt;&gt;不合格",入库明细!$Q$5:$Q$204,"&lt;&gt;退货")</f>
        <v>0</v>
      </c>
      <c r="H142" s="9">
        <f>SUMIFS(出库明细!$O$5:$O$204,出库明细!$G$5:$G$204,A142)</f>
        <v>0</v>
      </c>
      <c r="I142" s="9">
        <f t="shared" si="8"/>
        <v>0</v>
      </c>
      <c r="J142" s="9">
        <f t="shared" si="9"/>
        <v>-147.798</v>
      </c>
      <c r="K142" s="6" t="str">
        <f t="shared" si="10"/>
        <v>低于安全库存</v>
      </c>
      <c r="L142" s="10">
        <f t="shared" si="11"/>
        <v>227.798</v>
      </c>
      <c r="M142" s="10">
        <v>15</v>
      </c>
      <c r="N142" s="6" t="s">
        <v>438</v>
      </c>
      <c r="O142" s="6" t="s">
        <v>49</v>
      </c>
    </row>
    <row r="143" ht="14.4" spans="1:15">
      <c r="A143" s="6" t="s">
        <v>648</v>
      </c>
      <c r="B143" s="6" t="s">
        <v>605</v>
      </c>
      <c r="C143" s="6" t="s">
        <v>21</v>
      </c>
      <c r="D143" s="6" t="s">
        <v>437</v>
      </c>
      <c r="E143" s="9">
        <v>80</v>
      </c>
      <c r="F143" s="9">
        <f>SUMIFS(BOM用料!$N$5:$N$244,BOM用料!$E$5:$E$244,A143)</f>
        <v>19.8135</v>
      </c>
      <c r="G143" s="9">
        <f>SUMIFS(入库明细!$O$5:$O$204,入库明细!$G$5:$G$204,A143,入库明细!$Q$5:$Q$204,"&lt;&gt;不合格",入库明细!$Q$5:$Q$204,"&lt;&gt;退货")</f>
        <v>0</v>
      </c>
      <c r="H143" s="9">
        <f>SUMIFS(出库明细!$O$5:$O$204,出库明细!$G$5:$G$204,A143)</f>
        <v>0</v>
      </c>
      <c r="I143" s="9">
        <f t="shared" si="8"/>
        <v>0</v>
      </c>
      <c r="J143" s="9">
        <f t="shared" si="9"/>
        <v>-19.8135</v>
      </c>
      <c r="K143" s="6" t="str">
        <f t="shared" si="10"/>
        <v>低于安全库存</v>
      </c>
      <c r="L143" s="10">
        <f t="shared" si="11"/>
        <v>99.8135</v>
      </c>
      <c r="M143" s="10">
        <v>15</v>
      </c>
      <c r="N143" s="6" t="s">
        <v>438</v>
      </c>
      <c r="O143" s="6" t="s">
        <v>49</v>
      </c>
    </row>
    <row r="144" ht="14.4" spans="1:15">
      <c r="A144" s="6" t="s">
        <v>649</v>
      </c>
      <c r="B144" s="6" t="s">
        <v>607</v>
      </c>
      <c r="C144" s="6" t="s">
        <v>20</v>
      </c>
      <c r="D144" s="6" t="s">
        <v>441</v>
      </c>
      <c r="E144" s="9">
        <v>30</v>
      </c>
      <c r="F144" s="9">
        <f>SUMIFS(BOM用料!$N$5:$N$244,BOM用料!$E$5:$E$244,A144)</f>
        <v>2.2866</v>
      </c>
      <c r="G144" s="9">
        <f>SUMIFS(入库明细!$O$5:$O$204,入库明细!$G$5:$G$204,A144,入库明细!$Q$5:$Q$204,"&lt;&gt;不合格",入库明细!$Q$5:$Q$204,"&lt;&gt;退货")</f>
        <v>0</v>
      </c>
      <c r="H144" s="9">
        <f>SUMIFS(出库明细!$O$5:$O$204,出库明细!$G$5:$G$204,A144)</f>
        <v>0</v>
      </c>
      <c r="I144" s="9">
        <f t="shared" si="8"/>
        <v>0</v>
      </c>
      <c r="J144" s="9">
        <f t="shared" si="9"/>
        <v>-2.2866</v>
      </c>
      <c r="K144" s="6" t="str">
        <f t="shared" si="10"/>
        <v>低于安全库存</v>
      </c>
      <c r="L144" s="10">
        <f t="shared" si="11"/>
        <v>32.2866</v>
      </c>
      <c r="M144" s="10">
        <v>20</v>
      </c>
      <c r="N144" s="6" t="s">
        <v>442</v>
      </c>
      <c r="O144" s="6" t="s">
        <v>49</v>
      </c>
    </row>
    <row r="145" ht="14.4" spans="1:15">
      <c r="A145" s="6" t="s">
        <v>650</v>
      </c>
      <c r="B145" s="6" t="s">
        <v>605</v>
      </c>
      <c r="C145" s="6" t="s">
        <v>21</v>
      </c>
      <c r="D145" s="6" t="s">
        <v>437</v>
      </c>
      <c r="E145" s="9">
        <v>80</v>
      </c>
      <c r="F145" s="9">
        <f>SUMIFS(BOM用料!$N$5:$N$244,BOM用料!$E$5:$E$244,A145)</f>
        <v>0.5439</v>
      </c>
      <c r="G145" s="9">
        <f>SUMIFS(入库明细!$O$5:$O$204,入库明细!$G$5:$G$204,A145,入库明细!$Q$5:$Q$204,"&lt;&gt;不合格",入库明细!$Q$5:$Q$204,"&lt;&gt;退货")</f>
        <v>0</v>
      </c>
      <c r="H145" s="9">
        <f>SUMIFS(出库明细!$O$5:$O$204,出库明细!$G$5:$G$204,A145)</f>
        <v>0</v>
      </c>
      <c r="I145" s="9">
        <f t="shared" si="8"/>
        <v>0</v>
      </c>
      <c r="J145" s="9">
        <f t="shared" si="9"/>
        <v>-0.5439</v>
      </c>
      <c r="K145" s="6" t="str">
        <f t="shared" si="10"/>
        <v>低于安全库存</v>
      </c>
      <c r="L145" s="10">
        <f t="shared" si="11"/>
        <v>80.5439</v>
      </c>
      <c r="M145" s="10">
        <v>15</v>
      </c>
      <c r="N145" s="6" t="s">
        <v>438</v>
      </c>
      <c r="O145" s="6" t="s">
        <v>49</v>
      </c>
    </row>
    <row r="146" ht="14.4" spans="1:15">
      <c r="A146" s="6" t="s">
        <v>651</v>
      </c>
      <c r="B146" s="6" t="s">
        <v>564</v>
      </c>
      <c r="C146" s="6" t="s">
        <v>20</v>
      </c>
      <c r="D146" s="6" t="s">
        <v>441</v>
      </c>
      <c r="E146" s="9">
        <v>30</v>
      </c>
      <c r="F146" s="9">
        <f>SUMIFS(BOM用料!$N$5:$N$244,BOM用料!$E$5:$E$244,A146)</f>
        <v>19.4361</v>
      </c>
      <c r="G146" s="9">
        <f>SUMIFS(入库明细!$O$5:$O$204,入库明细!$G$5:$G$204,A146,入库明细!$Q$5:$Q$204,"&lt;&gt;不合格",入库明细!$Q$5:$Q$204,"&lt;&gt;退货")</f>
        <v>0</v>
      </c>
      <c r="H146" s="9">
        <f>SUMIFS(出库明细!$O$5:$O$204,出库明细!$G$5:$G$204,A146)</f>
        <v>0</v>
      </c>
      <c r="I146" s="9">
        <f t="shared" si="8"/>
        <v>0</v>
      </c>
      <c r="J146" s="9">
        <f t="shared" si="9"/>
        <v>-19.4361</v>
      </c>
      <c r="K146" s="6" t="str">
        <f t="shared" si="10"/>
        <v>低于安全库存</v>
      </c>
      <c r="L146" s="10">
        <f t="shared" si="11"/>
        <v>49.4361</v>
      </c>
      <c r="M146" s="10">
        <v>20</v>
      </c>
      <c r="N146" s="6" t="s">
        <v>442</v>
      </c>
      <c r="O146" s="6" t="s">
        <v>49</v>
      </c>
    </row>
    <row r="147" ht="14.4" spans="1:15">
      <c r="A147" s="6" t="s">
        <v>652</v>
      </c>
      <c r="B147" s="6" t="s">
        <v>545</v>
      </c>
      <c r="C147" s="6" t="s">
        <v>20</v>
      </c>
      <c r="D147" s="6" t="s">
        <v>441</v>
      </c>
      <c r="E147" s="9">
        <v>30</v>
      </c>
      <c r="F147" s="9">
        <f>SUMIFS(BOM用料!$N$5:$N$244,BOM用料!$E$5:$E$244,A147)</f>
        <v>19.4361</v>
      </c>
      <c r="G147" s="9">
        <f>SUMIFS(入库明细!$O$5:$O$204,入库明细!$G$5:$G$204,A147,入库明细!$Q$5:$Q$204,"&lt;&gt;不合格",入库明细!$Q$5:$Q$204,"&lt;&gt;退货")</f>
        <v>0</v>
      </c>
      <c r="H147" s="9">
        <f>SUMIFS(出库明细!$O$5:$O$204,出库明细!$G$5:$G$204,A147)</f>
        <v>0</v>
      </c>
      <c r="I147" s="9">
        <f t="shared" si="8"/>
        <v>0</v>
      </c>
      <c r="J147" s="9">
        <f t="shared" si="9"/>
        <v>-19.4361</v>
      </c>
      <c r="K147" s="6" t="str">
        <f t="shared" si="10"/>
        <v>低于安全库存</v>
      </c>
      <c r="L147" s="10">
        <f t="shared" si="11"/>
        <v>49.4361</v>
      </c>
      <c r="M147" s="10">
        <v>20</v>
      </c>
      <c r="N147" s="6" t="s">
        <v>442</v>
      </c>
      <c r="O147" s="6" t="s">
        <v>49</v>
      </c>
    </row>
    <row r="148" ht="14.4" spans="1:15">
      <c r="A148" s="6" t="s">
        <v>653</v>
      </c>
      <c r="B148" s="6" t="s">
        <v>654</v>
      </c>
      <c r="C148" s="6" t="s">
        <v>21</v>
      </c>
      <c r="D148" s="6" t="s">
        <v>437</v>
      </c>
      <c r="E148" s="9">
        <v>80</v>
      </c>
      <c r="F148" s="9">
        <f>SUMIFS(BOM用料!$N$5:$N$244,BOM用料!$E$5:$E$244,A148)</f>
        <v>19.8135</v>
      </c>
      <c r="G148" s="9">
        <f>SUMIFS(入库明细!$O$5:$O$204,入库明细!$G$5:$G$204,A148,入库明细!$Q$5:$Q$204,"&lt;&gt;不合格",入库明细!$Q$5:$Q$204,"&lt;&gt;退货")</f>
        <v>0</v>
      </c>
      <c r="H148" s="9">
        <f>SUMIFS(出库明细!$O$5:$O$204,出库明细!$G$5:$G$204,A148)</f>
        <v>0</v>
      </c>
      <c r="I148" s="9">
        <f t="shared" si="8"/>
        <v>0</v>
      </c>
      <c r="J148" s="9">
        <f t="shared" si="9"/>
        <v>-19.8135</v>
      </c>
      <c r="K148" s="6" t="str">
        <f t="shared" si="10"/>
        <v>低于安全库存</v>
      </c>
      <c r="L148" s="10">
        <f t="shared" si="11"/>
        <v>99.8135</v>
      </c>
      <c r="M148" s="10">
        <v>15</v>
      </c>
      <c r="N148" s="6" t="s">
        <v>438</v>
      </c>
      <c r="O148" s="6" t="s">
        <v>49</v>
      </c>
    </row>
    <row r="149" ht="14.4" spans="1:15">
      <c r="A149" s="6" t="s">
        <v>655</v>
      </c>
      <c r="B149" s="6" t="s">
        <v>656</v>
      </c>
      <c r="C149" s="6" t="s">
        <v>21</v>
      </c>
      <c r="D149" s="6" t="s">
        <v>437</v>
      </c>
      <c r="E149" s="9">
        <v>80</v>
      </c>
      <c r="F149" s="9">
        <f>SUMIFS(BOM用料!$N$5:$N$244,BOM用料!$E$5:$E$244,A149)</f>
        <v>19.8135</v>
      </c>
      <c r="G149" s="9">
        <f>SUMIFS(入库明细!$O$5:$O$204,入库明细!$G$5:$G$204,A149,入库明细!$Q$5:$Q$204,"&lt;&gt;不合格",入库明细!$Q$5:$Q$204,"&lt;&gt;退货")</f>
        <v>0</v>
      </c>
      <c r="H149" s="9">
        <f>SUMIFS(出库明细!$O$5:$O$204,出库明细!$G$5:$G$204,A149)</f>
        <v>0</v>
      </c>
      <c r="I149" s="9">
        <f t="shared" si="8"/>
        <v>0</v>
      </c>
      <c r="J149" s="9">
        <f t="shared" si="9"/>
        <v>-19.8135</v>
      </c>
      <c r="K149" s="6" t="str">
        <f t="shared" si="10"/>
        <v>低于安全库存</v>
      </c>
      <c r="L149" s="10">
        <f t="shared" si="11"/>
        <v>99.8135</v>
      </c>
      <c r="M149" s="10">
        <v>15</v>
      </c>
      <c r="N149" s="6" t="s">
        <v>438</v>
      </c>
      <c r="O149" s="6" t="s">
        <v>49</v>
      </c>
    </row>
    <row r="150" ht="14.4" spans="1:15">
      <c r="A150" s="6" t="s">
        <v>657</v>
      </c>
      <c r="B150" s="6" t="s">
        <v>541</v>
      </c>
      <c r="C150" s="6" t="s">
        <v>21</v>
      </c>
      <c r="D150" s="6" t="s">
        <v>437</v>
      </c>
      <c r="E150" s="9">
        <v>80</v>
      </c>
      <c r="F150" s="9">
        <f>SUMIFS(BOM用料!$N$5:$N$244,BOM用料!$E$5:$E$244,A150)</f>
        <v>642.999</v>
      </c>
      <c r="G150" s="9">
        <f>SUMIFS(入库明细!$O$5:$O$204,入库明细!$G$5:$G$204,A150,入库明细!$Q$5:$Q$204,"&lt;&gt;不合格",入库明细!$Q$5:$Q$204,"&lt;&gt;退货")</f>
        <v>0</v>
      </c>
      <c r="H150" s="9">
        <f>SUMIFS(出库明细!$O$5:$O$204,出库明细!$G$5:$G$204,A150)</f>
        <v>0</v>
      </c>
      <c r="I150" s="9">
        <f t="shared" si="8"/>
        <v>0</v>
      </c>
      <c r="J150" s="9">
        <f t="shared" si="9"/>
        <v>-642.999</v>
      </c>
      <c r="K150" s="6" t="str">
        <f t="shared" si="10"/>
        <v>低于安全库存</v>
      </c>
      <c r="L150" s="10">
        <f t="shared" si="11"/>
        <v>722.999</v>
      </c>
      <c r="M150" s="10">
        <v>15</v>
      </c>
      <c r="N150" s="6" t="s">
        <v>438</v>
      </c>
      <c r="O150" s="6" t="s">
        <v>49</v>
      </c>
    </row>
    <row r="151" ht="14.4" spans="1:15">
      <c r="A151" s="6" t="s">
        <v>658</v>
      </c>
      <c r="B151" s="6" t="s">
        <v>543</v>
      </c>
      <c r="C151" s="6" t="s">
        <v>20</v>
      </c>
      <c r="D151" s="6" t="s">
        <v>441</v>
      </c>
      <c r="E151" s="9">
        <v>30</v>
      </c>
      <c r="F151" s="9">
        <f>SUMIFS(BOM用料!$N$5:$N$244,BOM用料!$E$5:$E$244,A151)</f>
        <v>35.77396</v>
      </c>
      <c r="G151" s="9">
        <f>SUMIFS(入库明细!$O$5:$O$204,入库明细!$G$5:$G$204,A151,入库明细!$Q$5:$Q$204,"&lt;&gt;不合格",入库明细!$Q$5:$Q$204,"&lt;&gt;退货")</f>
        <v>0</v>
      </c>
      <c r="H151" s="9">
        <f>SUMIFS(出库明细!$O$5:$O$204,出库明细!$G$5:$G$204,A151)</f>
        <v>0</v>
      </c>
      <c r="I151" s="9">
        <f t="shared" si="8"/>
        <v>0</v>
      </c>
      <c r="J151" s="9">
        <f t="shared" si="9"/>
        <v>-35.77396</v>
      </c>
      <c r="K151" s="6" t="str">
        <f t="shared" si="10"/>
        <v>低于安全库存</v>
      </c>
      <c r="L151" s="10">
        <f t="shared" si="11"/>
        <v>65.77396</v>
      </c>
      <c r="M151" s="10">
        <v>20</v>
      </c>
      <c r="N151" s="6" t="s">
        <v>442</v>
      </c>
      <c r="O151" s="6" t="s">
        <v>49</v>
      </c>
    </row>
    <row r="152" ht="14.4" spans="1:15">
      <c r="A152" s="6" t="s">
        <v>659</v>
      </c>
      <c r="B152" s="6" t="s">
        <v>545</v>
      </c>
      <c r="C152" s="6" t="s">
        <v>20</v>
      </c>
      <c r="D152" s="6" t="s">
        <v>441</v>
      </c>
      <c r="E152" s="9">
        <v>30</v>
      </c>
      <c r="F152" s="9">
        <f>SUMIFS(BOM用料!$N$5:$N$244,BOM用料!$E$5:$E$244,A152)</f>
        <v>11.29704</v>
      </c>
      <c r="G152" s="9">
        <f>SUMIFS(入库明细!$O$5:$O$204,入库明细!$G$5:$G$204,A152,入库明细!$Q$5:$Q$204,"&lt;&gt;不合格",入库明细!$Q$5:$Q$204,"&lt;&gt;退货")</f>
        <v>0</v>
      </c>
      <c r="H152" s="9">
        <f>SUMIFS(出库明细!$O$5:$O$204,出库明细!$G$5:$G$204,A152)</f>
        <v>0</v>
      </c>
      <c r="I152" s="9">
        <f t="shared" si="8"/>
        <v>0</v>
      </c>
      <c r="J152" s="9">
        <f t="shared" si="9"/>
        <v>-11.29704</v>
      </c>
      <c r="K152" s="6" t="str">
        <f t="shared" si="10"/>
        <v>低于安全库存</v>
      </c>
      <c r="L152" s="10">
        <f t="shared" si="11"/>
        <v>41.29704</v>
      </c>
      <c r="M152" s="10">
        <v>20</v>
      </c>
      <c r="N152" s="6" t="s">
        <v>442</v>
      </c>
      <c r="O152" s="6" t="s">
        <v>49</v>
      </c>
    </row>
    <row r="153" ht="14.4" spans="1:15">
      <c r="A153" s="6" t="s">
        <v>660</v>
      </c>
      <c r="B153" s="6" t="s">
        <v>661</v>
      </c>
      <c r="C153" s="6" t="s">
        <v>21</v>
      </c>
      <c r="D153" s="6" t="s">
        <v>437</v>
      </c>
      <c r="E153" s="9">
        <v>80</v>
      </c>
      <c r="F153" s="9">
        <f>SUMIFS(BOM用料!$N$5:$N$244,BOM用料!$E$5:$E$244,A153)</f>
        <v>642.999</v>
      </c>
      <c r="G153" s="9">
        <f>SUMIFS(入库明细!$O$5:$O$204,入库明细!$G$5:$G$204,A153,入库明细!$Q$5:$Q$204,"&lt;&gt;不合格",入库明细!$Q$5:$Q$204,"&lt;&gt;退货")</f>
        <v>0</v>
      </c>
      <c r="H153" s="9">
        <f>SUMIFS(出库明细!$O$5:$O$204,出库明细!$G$5:$G$204,A153)</f>
        <v>0</v>
      </c>
      <c r="I153" s="9">
        <f t="shared" si="8"/>
        <v>0</v>
      </c>
      <c r="J153" s="9">
        <f t="shared" si="9"/>
        <v>-642.999</v>
      </c>
      <c r="K153" s="6" t="str">
        <f t="shared" si="10"/>
        <v>低于安全库存</v>
      </c>
      <c r="L153" s="10">
        <f t="shared" si="11"/>
        <v>722.999</v>
      </c>
      <c r="M153" s="10">
        <v>15</v>
      </c>
      <c r="N153" s="6" t="s">
        <v>438</v>
      </c>
      <c r="O153" s="6" t="s">
        <v>49</v>
      </c>
    </row>
    <row r="154" ht="14.4" spans="1:15">
      <c r="A154" s="6" t="s">
        <v>662</v>
      </c>
      <c r="B154" s="6" t="s">
        <v>663</v>
      </c>
      <c r="C154" s="6" t="s">
        <v>21</v>
      </c>
      <c r="D154" s="6" t="s">
        <v>437</v>
      </c>
      <c r="E154" s="9">
        <v>80</v>
      </c>
      <c r="F154" s="9">
        <f>SUMIFS(BOM用料!$N$5:$N$244,BOM用料!$E$5:$E$244,A154)</f>
        <v>642.999</v>
      </c>
      <c r="G154" s="9">
        <f>SUMIFS(入库明细!$O$5:$O$204,入库明细!$G$5:$G$204,A154,入库明细!$Q$5:$Q$204,"&lt;&gt;不合格",入库明细!$Q$5:$Q$204,"&lt;&gt;退货")</f>
        <v>0</v>
      </c>
      <c r="H154" s="9">
        <f>SUMIFS(出库明细!$O$5:$O$204,出库明细!$G$5:$G$204,A154)</f>
        <v>0</v>
      </c>
      <c r="I154" s="9">
        <f t="shared" si="8"/>
        <v>0</v>
      </c>
      <c r="J154" s="9">
        <f t="shared" si="9"/>
        <v>-642.999</v>
      </c>
      <c r="K154" s="6" t="str">
        <f t="shared" si="10"/>
        <v>低于安全库存</v>
      </c>
      <c r="L154" s="10">
        <f t="shared" si="11"/>
        <v>722.999</v>
      </c>
      <c r="M154" s="10">
        <v>15</v>
      </c>
      <c r="N154" s="6" t="s">
        <v>438</v>
      </c>
      <c r="O154" s="6" t="s">
        <v>49</v>
      </c>
    </row>
    <row r="155" ht="14.4" spans="1:15">
      <c r="A155" s="6" t="s">
        <v>664</v>
      </c>
      <c r="B155" s="6" t="s">
        <v>541</v>
      </c>
      <c r="C155" s="6" t="s">
        <v>21</v>
      </c>
      <c r="D155" s="6" t="s">
        <v>437</v>
      </c>
      <c r="E155" s="9">
        <v>80</v>
      </c>
      <c r="F155" s="9">
        <f>SUMIFS(BOM用料!$N$5:$N$244,BOM用料!$E$5:$E$244,A155)</f>
        <v>55.86</v>
      </c>
      <c r="G155" s="9">
        <f>SUMIFS(入库明细!$O$5:$O$204,入库明细!$G$5:$G$204,A155,入库明细!$Q$5:$Q$204,"&lt;&gt;不合格",入库明细!$Q$5:$Q$204,"&lt;&gt;退货")</f>
        <v>0</v>
      </c>
      <c r="H155" s="9">
        <f>SUMIFS(出库明细!$O$5:$O$204,出库明细!$G$5:$G$204,A155)</f>
        <v>0</v>
      </c>
      <c r="I155" s="9">
        <f t="shared" si="8"/>
        <v>0</v>
      </c>
      <c r="J155" s="9">
        <f t="shared" si="9"/>
        <v>-55.86</v>
      </c>
      <c r="K155" s="6" t="str">
        <f t="shared" si="10"/>
        <v>低于安全库存</v>
      </c>
      <c r="L155" s="10">
        <f t="shared" si="11"/>
        <v>135.86</v>
      </c>
      <c r="M155" s="10">
        <v>15</v>
      </c>
      <c r="N155" s="6" t="s">
        <v>438</v>
      </c>
      <c r="O155" s="6" t="s">
        <v>49</v>
      </c>
    </row>
    <row r="156" ht="14.4" spans="1:15">
      <c r="A156" s="6" t="s">
        <v>665</v>
      </c>
      <c r="B156" s="6" t="s">
        <v>543</v>
      </c>
      <c r="C156" s="6" t="s">
        <v>20</v>
      </c>
      <c r="D156" s="6" t="s">
        <v>441</v>
      </c>
      <c r="E156" s="9">
        <v>30</v>
      </c>
      <c r="F156" s="9">
        <f>SUMIFS(BOM用料!$N$5:$N$244,BOM用料!$E$5:$E$244,A156)</f>
        <v>3.42475</v>
      </c>
      <c r="G156" s="9">
        <f>SUMIFS(入库明细!$O$5:$O$204,入库明细!$G$5:$G$204,A156,入库明细!$Q$5:$Q$204,"&lt;&gt;不合格",入库明细!$Q$5:$Q$204,"&lt;&gt;退货")</f>
        <v>0</v>
      </c>
      <c r="H156" s="9">
        <f>SUMIFS(出库明细!$O$5:$O$204,出库明细!$G$5:$G$204,A156)</f>
        <v>0</v>
      </c>
      <c r="I156" s="9">
        <f t="shared" si="8"/>
        <v>0</v>
      </c>
      <c r="J156" s="9">
        <f t="shared" si="9"/>
        <v>-3.42475</v>
      </c>
      <c r="K156" s="6" t="str">
        <f t="shared" si="10"/>
        <v>低于安全库存</v>
      </c>
      <c r="L156" s="10">
        <f t="shared" si="11"/>
        <v>33.42475</v>
      </c>
      <c r="M156" s="10">
        <v>20</v>
      </c>
      <c r="N156" s="6" t="s">
        <v>442</v>
      </c>
      <c r="O156" s="6" t="s">
        <v>49</v>
      </c>
    </row>
    <row r="157" ht="14.4" spans="1:15">
      <c r="A157" s="6" t="s">
        <v>666</v>
      </c>
      <c r="B157" s="6" t="s">
        <v>545</v>
      </c>
      <c r="C157" s="6" t="s">
        <v>20</v>
      </c>
      <c r="D157" s="6" t="s">
        <v>441</v>
      </c>
      <c r="E157" s="9">
        <v>30</v>
      </c>
      <c r="F157" s="9">
        <f>SUMIFS(BOM用料!$N$5:$N$244,BOM用料!$E$5:$E$244,A157)</f>
        <v>0.9785</v>
      </c>
      <c r="G157" s="9">
        <f>SUMIFS(入库明细!$O$5:$O$204,入库明细!$G$5:$G$204,A157,入库明细!$Q$5:$Q$204,"&lt;&gt;不合格",入库明细!$Q$5:$Q$204,"&lt;&gt;退货")</f>
        <v>0</v>
      </c>
      <c r="H157" s="9">
        <f>SUMIFS(出库明细!$O$5:$O$204,出库明细!$G$5:$G$204,A157)</f>
        <v>0</v>
      </c>
      <c r="I157" s="9">
        <f t="shared" si="8"/>
        <v>0</v>
      </c>
      <c r="J157" s="9">
        <f t="shared" si="9"/>
        <v>-0.9785</v>
      </c>
      <c r="K157" s="6" t="str">
        <f t="shared" si="10"/>
        <v>低于安全库存</v>
      </c>
      <c r="L157" s="10">
        <f t="shared" si="11"/>
        <v>30.9785</v>
      </c>
      <c r="M157" s="10">
        <v>20</v>
      </c>
      <c r="N157" s="6" t="s">
        <v>442</v>
      </c>
      <c r="O157" s="6" t="s">
        <v>49</v>
      </c>
    </row>
    <row r="158" ht="14.4" spans="1:15">
      <c r="A158" s="6" t="s">
        <v>667</v>
      </c>
      <c r="B158" s="6" t="s">
        <v>668</v>
      </c>
      <c r="C158" s="6" t="s">
        <v>21</v>
      </c>
      <c r="D158" s="6" t="s">
        <v>437</v>
      </c>
      <c r="E158" s="9">
        <v>80</v>
      </c>
      <c r="F158" s="9">
        <f>SUMIFS(BOM用料!$N$5:$N$244,BOM用料!$E$5:$E$244,A158)</f>
        <v>55.86</v>
      </c>
      <c r="G158" s="9">
        <f>SUMIFS(入库明细!$O$5:$O$204,入库明细!$G$5:$G$204,A158,入库明细!$Q$5:$Q$204,"&lt;&gt;不合格",入库明细!$Q$5:$Q$204,"&lt;&gt;退货")</f>
        <v>0</v>
      </c>
      <c r="H158" s="9">
        <f>SUMIFS(出库明细!$O$5:$O$204,出库明细!$G$5:$G$204,A158)</f>
        <v>0</v>
      </c>
      <c r="I158" s="9">
        <f t="shared" si="8"/>
        <v>0</v>
      </c>
      <c r="J158" s="9">
        <f t="shared" si="9"/>
        <v>-55.86</v>
      </c>
      <c r="K158" s="6" t="str">
        <f t="shared" si="10"/>
        <v>低于安全库存</v>
      </c>
      <c r="L158" s="10">
        <f t="shared" si="11"/>
        <v>135.86</v>
      </c>
      <c r="M158" s="10">
        <v>15</v>
      </c>
      <c r="N158" s="6" t="s">
        <v>438</v>
      </c>
      <c r="O158" s="6" t="s">
        <v>49</v>
      </c>
    </row>
    <row r="159" ht="14.4" spans="1:15">
      <c r="A159" s="6" t="s">
        <v>669</v>
      </c>
      <c r="B159" s="6" t="s">
        <v>670</v>
      </c>
      <c r="C159" s="6" t="s">
        <v>21</v>
      </c>
      <c r="D159" s="6" t="s">
        <v>437</v>
      </c>
      <c r="E159" s="9">
        <v>80</v>
      </c>
      <c r="F159" s="9">
        <f>SUMIFS(BOM用料!$N$5:$N$244,BOM用料!$E$5:$E$244,A159)</f>
        <v>55.86</v>
      </c>
      <c r="G159" s="9">
        <f>SUMIFS(入库明细!$O$5:$O$204,入库明细!$G$5:$G$204,A159,入库明细!$Q$5:$Q$204,"&lt;&gt;不合格",入库明细!$Q$5:$Q$204,"&lt;&gt;退货")</f>
        <v>0</v>
      </c>
      <c r="H159" s="9">
        <f>SUMIFS(出库明细!$O$5:$O$204,出库明细!$G$5:$G$204,A159)</f>
        <v>0</v>
      </c>
      <c r="I159" s="9">
        <f t="shared" si="8"/>
        <v>0</v>
      </c>
      <c r="J159" s="9">
        <f t="shared" si="9"/>
        <v>-55.86</v>
      </c>
      <c r="K159" s="6" t="str">
        <f t="shared" si="10"/>
        <v>低于安全库存</v>
      </c>
      <c r="L159" s="10">
        <f t="shared" si="11"/>
        <v>135.86</v>
      </c>
      <c r="M159" s="10">
        <v>15</v>
      </c>
      <c r="N159" s="6" t="s">
        <v>438</v>
      </c>
      <c r="O159" s="6" t="s">
        <v>49</v>
      </c>
    </row>
    <row r="160" ht="14.4" spans="1:15">
      <c r="A160" s="6" t="s">
        <v>671</v>
      </c>
      <c r="B160" s="6" t="s">
        <v>672</v>
      </c>
      <c r="C160" s="6" t="s">
        <v>21</v>
      </c>
      <c r="D160" s="6" t="s">
        <v>437</v>
      </c>
      <c r="E160" s="9">
        <v>80</v>
      </c>
      <c r="F160" s="9">
        <f>SUMIFS(BOM用料!$N$5:$N$244,BOM用料!$E$5:$E$244,A160)</f>
        <v>826.7175</v>
      </c>
      <c r="G160" s="9">
        <f>SUMIFS(入库明细!$O$5:$O$204,入库明细!$G$5:$G$204,A160,入库明细!$Q$5:$Q$204,"&lt;&gt;不合格",入库明细!$Q$5:$Q$204,"&lt;&gt;退货")</f>
        <v>0</v>
      </c>
      <c r="H160" s="9">
        <f>SUMIFS(出库明细!$O$5:$O$204,出库明细!$G$5:$G$204,A160)</f>
        <v>0</v>
      </c>
      <c r="I160" s="9">
        <f t="shared" si="8"/>
        <v>0</v>
      </c>
      <c r="J160" s="9">
        <f t="shared" si="9"/>
        <v>-826.7175</v>
      </c>
      <c r="K160" s="6" t="str">
        <f t="shared" si="10"/>
        <v>低于安全库存</v>
      </c>
      <c r="L160" s="10">
        <f t="shared" si="11"/>
        <v>906.7175</v>
      </c>
      <c r="M160" s="10">
        <v>15</v>
      </c>
      <c r="N160" s="6" t="s">
        <v>438</v>
      </c>
      <c r="O160" s="6" t="s">
        <v>316</v>
      </c>
    </row>
    <row r="161" ht="14.4" spans="1:15">
      <c r="A161" s="6" t="s">
        <v>673</v>
      </c>
      <c r="B161" s="6" t="s">
        <v>674</v>
      </c>
      <c r="C161" s="6" t="s">
        <v>21</v>
      </c>
      <c r="D161" s="6" t="s">
        <v>437</v>
      </c>
      <c r="E161" s="9">
        <v>80</v>
      </c>
      <c r="F161" s="9">
        <f>SUMIFS(BOM用料!$N$5:$N$244,BOM用料!$E$5:$E$244,A161)</f>
        <v>28.5075</v>
      </c>
      <c r="G161" s="9">
        <f>SUMIFS(入库明细!$O$5:$O$204,入库明细!$G$5:$G$204,A161,入库明细!$Q$5:$Q$204,"&lt;&gt;不合格",入库明细!$Q$5:$Q$204,"&lt;&gt;退货")</f>
        <v>0</v>
      </c>
      <c r="H161" s="9">
        <f>SUMIFS(出库明细!$O$5:$O$204,出库明细!$G$5:$G$204,A161)</f>
        <v>0</v>
      </c>
      <c r="I161" s="9">
        <f t="shared" si="8"/>
        <v>0</v>
      </c>
      <c r="J161" s="9">
        <f t="shared" si="9"/>
        <v>-28.5075</v>
      </c>
      <c r="K161" s="6" t="str">
        <f t="shared" si="10"/>
        <v>低于安全库存</v>
      </c>
      <c r="L161" s="10">
        <f t="shared" si="11"/>
        <v>108.5075</v>
      </c>
      <c r="M161" s="10">
        <v>15</v>
      </c>
      <c r="N161" s="6" t="s">
        <v>438</v>
      </c>
      <c r="O161" s="6" t="s">
        <v>316</v>
      </c>
    </row>
    <row r="162" ht="14.4" spans="1:15">
      <c r="A162" s="6" t="s">
        <v>675</v>
      </c>
      <c r="B162" s="6" t="s">
        <v>672</v>
      </c>
      <c r="C162" s="6" t="s">
        <v>21</v>
      </c>
      <c r="D162" s="6" t="s">
        <v>437</v>
      </c>
      <c r="E162" s="9">
        <v>80</v>
      </c>
      <c r="F162" s="9">
        <f>SUMIFS(BOM用料!$N$5:$N$244,BOM用料!$E$5:$E$244,A162)</f>
        <v>826.7175</v>
      </c>
      <c r="G162" s="9">
        <f>SUMIFS(入库明细!$O$5:$O$204,入库明细!$G$5:$G$204,A162,入库明细!$Q$5:$Q$204,"&lt;&gt;不合格",入库明细!$Q$5:$Q$204,"&lt;&gt;退货")</f>
        <v>0</v>
      </c>
      <c r="H162" s="9">
        <f>SUMIFS(出库明细!$O$5:$O$204,出库明细!$G$5:$G$204,A162)</f>
        <v>0</v>
      </c>
      <c r="I162" s="9">
        <f t="shared" si="8"/>
        <v>0</v>
      </c>
      <c r="J162" s="9">
        <f t="shared" si="9"/>
        <v>-826.7175</v>
      </c>
      <c r="K162" s="6" t="str">
        <f t="shared" si="10"/>
        <v>低于安全库存</v>
      </c>
      <c r="L162" s="10">
        <f t="shared" si="11"/>
        <v>906.7175</v>
      </c>
      <c r="M162" s="10">
        <v>15</v>
      </c>
      <c r="N162" s="6" t="s">
        <v>438</v>
      </c>
      <c r="O162" s="6" t="s">
        <v>316</v>
      </c>
    </row>
    <row r="163" ht="14.4" spans="1:15">
      <c r="A163" s="6" t="s">
        <v>676</v>
      </c>
      <c r="B163" s="6" t="s">
        <v>672</v>
      </c>
      <c r="C163" s="6" t="s">
        <v>21</v>
      </c>
      <c r="D163" s="6" t="s">
        <v>437</v>
      </c>
      <c r="E163" s="9">
        <v>80</v>
      </c>
      <c r="F163" s="9">
        <f>SUMIFS(BOM用料!$N$5:$N$244,BOM用料!$E$5:$E$244,A163)</f>
        <v>130.977</v>
      </c>
      <c r="G163" s="9">
        <f>SUMIFS(入库明细!$O$5:$O$204,入库明细!$G$5:$G$204,A163,入库明细!$Q$5:$Q$204,"&lt;&gt;不合格",入库明细!$Q$5:$Q$204,"&lt;&gt;退货")</f>
        <v>0</v>
      </c>
      <c r="H163" s="9">
        <f>SUMIFS(出库明细!$O$5:$O$204,出库明细!$G$5:$G$204,A163)</f>
        <v>0</v>
      </c>
      <c r="I163" s="9">
        <f t="shared" si="8"/>
        <v>0</v>
      </c>
      <c r="J163" s="9">
        <f t="shared" si="9"/>
        <v>-130.977</v>
      </c>
      <c r="K163" s="6" t="str">
        <f t="shared" si="10"/>
        <v>低于安全库存</v>
      </c>
      <c r="L163" s="10">
        <f t="shared" si="11"/>
        <v>210.977</v>
      </c>
      <c r="M163" s="10">
        <v>15</v>
      </c>
      <c r="N163" s="6" t="s">
        <v>438</v>
      </c>
      <c r="O163" s="6" t="s">
        <v>49</v>
      </c>
    </row>
    <row r="164" ht="14.4" spans="1:15">
      <c r="A164" s="6" t="s">
        <v>677</v>
      </c>
      <c r="B164" s="6" t="s">
        <v>674</v>
      </c>
      <c r="C164" s="6" t="s">
        <v>21</v>
      </c>
      <c r="D164" s="6" t="s">
        <v>437</v>
      </c>
      <c r="E164" s="9">
        <v>80</v>
      </c>
      <c r="F164" s="9">
        <f>SUMIFS(BOM用料!$N$5:$N$244,BOM用料!$E$5:$E$244,A164)</f>
        <v>4.158</v>
      </c>
      <c r="G164" s="9">
        <f>SUMIFS(入库明细!$O$5:$O$204,入库明细!$G$5:$G$204,A164,入库明细!$Q$5:$Q$204,"&lt;&gt;不合格",入库明细!$Q$5:$Q$204,"&lt;&gt;退货")</f>
        <v>0</v>
      </c>
      <c r="H164" s="9">
        <f>SUMIFS(出库明细!$O$5:$O$204,出库明细!$G$5:$G$204,A164)</f>
        <v>0</v>
      </c>
      <c r="I164" s="9">
        <f t="shared" si="8"/>
        <v>0</v>
      </c>
      <c r="J164" s="9">
        <f t="shared" si="9"/>
        <v>-4.158</v>
      </c>
      <c r="K164" s="6" t="str">
        <f t="shared" si="10"/>
        <v>低于安全库存</v>
      </c>
      <c r="L164" s="10">
        <f t="shared" si="11"/>
        <v>84.158</v>
      </c>
      <c r="M164" s="10">
        <v>15</v>
      </c>
      <c r="N164" s="6" t="s">
        <v>438</v>
      </c>
      <c r="O164" s="6" t="s">
        <v>49</v>
      </c>
    </row>
  </sheetData>
  <mergeCells count="2">
    <mergeCell ref="A1:O1"/>
    <mergeCell ref="A3:O3"/>
  </mergeCells>
  <conditionalFormatting sqref="K5:K164">
    <cfRule type="containsText" dxfId="0" priority="1" operator="between" text="负库存">
      <formula>NOT(ISERROR(SEARCH("负库存",K5)))</formula>
    </cfRule>
    <cfRule type="containsText" dxfId="1" priority="2" operator="between" text="订单缺料">
      <formula>NOT(ISERROR(SEARCH("订单缺料",K5)))</formula>
    </cfRule>
    <cfRule type="containsText" dxfId="2" priority="3" operator="between" text="低于安全库存">
      <formula>NOT(ISERROR(SEARCH("低于安全库存",K5)))</formula>
    </cfRule>
    <cfRule type="containsText" dxfId="3" priority="4" operator="between" text="正常">
      <formula>NOT(ISERROR(SEARCH("正常",K5)))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showGridLines="0" workbookViewId="0">
      <selection activeCell="A1" sqref="A1:E1"/>
    </sheetView>
  </sheetViews>
  <sheetFormatPr defaultColWidth="9" defaultRowHeight="13.8" outlineLevelCol="4"/>
  <cols>
    <col min="1" max="1" width="11.25" customWidth="1"/>
    <col min="2" max="2" width="12.5" customWidth="1"/>
    <col min="3" max="3" width="13.75" customWidth="1"/>
    <col min="4" max="4" width="11.25" customWidth="1"/>
    <col min="5" max="5" width="32.5" customWidth="1"/>
  </cols>
  <sheetData>
    <row r="1" ht="25.5" customHeight="1" spans="1:5">
      <c r="A1" s="1" t="s">
        <v>1074</v>
      </c>
      <c r="B1" s="1" t="s">
        <v>1074</v>
      </c>
      <c r="C1" s="1" t="s">
        <v>1074</v>
      </c>
      <c r="D1" s="1" t="s">
        <v>1074</v>
      </c>
      <c r="E1" s="1" t="s">
        <v>1074</v>
      </c>
    </row>
    <row r="3" spans="1:5">
      <c r="A3" s="4" t="s">
        <v>1075</v>
      </c>
      <c r="B3" s="4" t="s">
        <v>1075</v>
      </c>
      <c r="C3" s="4" t="s">
        <v>1075</v>
      </c>
      <c r="D3" s="4" t="s">
        <v>1075</v>
      </c>
      <c r="E3" s="4" t="s">
        <v>1075</v>
      </c>
    </row>
    <row r="4" ht="22.5" customHeight="1" spans="1:5">
      <c r="A4" s="5" t="s">
        <v>1004</v>
      </c>
      <c r="B4" s="5" t="s">
        <v>430</v>
      </c>
      <c r="C4" s="5" t="s">
        <v>1076</v>
      </c>
      <c r="D4" s="5" t="s">
        <v>1006</v>
      </c>
      <c r="E4" s="5" t="s">
        <v>1077</v>
      </c>
    </row>
    <row r="5" ht="14.4" spans="1:5">
      <c r="A5" s="6" t="s">
        <v>441</v>
      </c>
      <c r="B5" s="6" t="s">
        <v>441</v>
      </c>
      <c r="C5" s="6" t="s">
        <v>1078</v>
      </c>
      <c r="D5" s="7">
        <v>1</v>
      </c>
      <c r="E5" s="6" t="s">
        <v>1079</v>
      </c>
    </row>
    <row r="6" ht="14.4" spans="1:5">
      <c r="A6" s="6" t="s">
        <v>1080</v>
      </c>
      <c r="B6" s="6" t="s">
        <v>441</v>
      </c>
      <c r="C6" s="6" t="s">
        <v>1081</v>
      </c>
      <c r="D6" s="7">
        <v>0.001</v>
      </c>
      <c r="E6" s="6" t="s">
        <v>1082</v>
      </c>
    </row>
    <row r="7" ht="14.4" spans="1:5">
      <c r="A7" s="6" t="s">
        <v>437</v>
      </c>
      <c r="B7" s="6" t="s">
        <v>437</v>
      </c>
      <c r="C7" s="6" t="s">
        <v>1083</v>
      </c>
      <c r="D7" s="7">
        <v>1</v>
      </c>
      <c r="E7" s="6" t="s">
        <v>1084</v>
      </c>
    </row>
    <row r="8" ht="14.4" spans="1:5">
      <c r="A8" s="6" t="s">
        <v>1085</v>
      </c>
      <c r="B8" s="6" t="s">
        <v>437</v>
      </c>
      <c r="C8" s="6" t="s">
        <v>1086</v>
      </c>
      <c r="D8" s="7">
        <v>0.9144</v>
      </c>
      <c r="E8" s="6" t="s">
        <v>1087</v>
      </c>
    </row>
    <row r="9" ht="14.4" spans="1:5">
      <c r="A9" s="6" t="s">
        <v>458</v>
      </c>
      <c r="B9" s="6" t="s">
        <v>458</v>
      </c>
      <c r="C9" s="6" t="s">
        <v>1088</v>
      </c>
      <c r="D9" s="7">
        <v>1</v>
      </c>
      <c r="E9" s="6" t="s">
        <v>1089</v>
      </c>
    </row>
    <row r="10" ht="14.4" spans="1:5">
      <c r="A10" s="6" t="s">
        <v>1090</v>
      </c>
      <c r="B10" s="6" t="s">
        <v>458</v>
      </c>
      <c r="C10" s="6" t="s">
        <v>1091</v>
      </c>
      <c r="D10" s="7">
        <v>1</v>
      </c>
      <c r="E10" s="6" t="s">
        <v>1092</v>
      </c>
    </row>
    <row r="11" ht="14.4" spans="1:5">
      <c r="A11" s="6" t="s">
        <v>1093</v>
      </c>
      <c r="B11" s="6" t="s">
        <v>458</v>
      </c>
      <c r="C11" s="6" t="s">
        <v>1094</v>
      </c>
      <c r="D11" s="7">
        <v>100</v>
      </c>
      <c r="E11" s="6" t="s">
        <v>1095</v>
      </c>
    </row>
    <row r="12" ht="14.4" spans="1:5">
      <c r="A12" s="6" t="s">
        <v>1096</v>
      </c>
      <c r="B12" s="6" t="s">
        <v>437</v>
      </c>
      <c r="C12" s="6" t="s">
        <v>1097</v>
      </c>
      <c r="D12" s="7">
        <v>50</v>
      </c>
      <c r="E12" s="6" t="s">
        <v>1098</v>
      </c>
    </row>
    <row r="13" ht="28.2" spans="1:5">
      <c r="A13" s="6" t="s">
        <v>1099</v>
      </c>
      <c r="B13" s="6" t="s">
        <v>441</v>
      </c>
      <c r="C13" s="6" t="s">
        <v>1100</v>
      </c>
      <c r="D13" s="7">
        <v>1</v>
      </c>
      <c r="E13" s="6" t="s">
        <v>1101</v>
      </c>
    </row>
    <row r="14" spans="4:4">
      <c r="D14" s="8"/>
    </row>
    <row r="15" spans="4:4">
      <c r="D15" s="8"/>
    </row>
    <row r="16" spans="4:4">
      <c r="D16" s="8"/>
    </row>
    <row r="17" spans="4:4">
      <c r="D17" s="8"/>
    </row>
    <row r="18" spans="4:4">
      <c r="D18" s="8"/>
    </row>
    <row r="19" spans="4:4">
      <c r="D19" s="8"/>
    </row>
    <row r="20" spans="4:4">
      <c r="D20" s="8"/>
    </row>
    <row r="21" spans="4:4">
      <c r="D21" s="8"/>
    </row>
    <row r="22" spans="4:4">
      <c r="D22" s="8"/>
    </row>
    <row r="23" spans="4:4">
      <c r="D23" s="8"/>
    </row>
    <row r="24" spans="4:4">
      <c r="D24" s="8"/>
    </row>
    <row r="25" spans="4:4">
      <c r="D25" s="8"/>
    </row>
    <row r="26" spans="4:4">
      <c r="D26" s="8"/>
    </row>
    <row r="27" spans="4:4">
      <c r="D27" s="8"/>
    </row>
    <row r="28" spans="4:4">
      <c r="D28" s="8"/>
    </row>
    <row r="29" spans="4:4">
      <c r="D29" s="8"/>
    </row>
    <row r="30" spans="4:4">
      <c r="D30" s="8"/>
    </row>
  </sheetData>
  <mergeCells count="2">
    <mergeCell ref="A1:E1"/>
    <mergeCell ref="A3:E3"/>
  </mergeCells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showGridLines="0" workbookViewId="0">
      <selection activeCell="A1" sqref="A1:F1"/>
    </sheetView>
  </sheetViews>
  <sheetFormatPr defaultColWidth="9" defaultRowHeight="13.8" outlineLevelCol="5"/>
  <cols>
    <col min="1" max="1" width="18.75" customWidth="1"/>
    <col min="2" max="2" width="21.25" customWidth="1"/>
    <col min="3" max="3" width="16.25" customWidth="1"/>
    <col min="4" max="4" width="10" customWidth="1"/>
    <col min="5" max="6" width="27.5" customWidth="1"/>
  </cols>
  <sheetData>
    <row r="1" ht="25.5" customHeight="1" spans="1:6">
      <c r="A1" s="1" t="s">
        <v>1102</v>
      </c>
      <c r="B1" s="1" t="s">
        <v>1102</v>
      </c>
      <c r="C1" s="1" t="s">
        <v>1102</v>
      </c>
      <c r="D1" s="1" t="s">
        <v>1102</v>
      </c>
      <c r="E1" s="1" t="s">
        <v>1102</v>
      </c>
      <c r="F1" s="1" t="s">
        <v>1102</v>
      </c>
    </row>
    <row r="3" spans="1:6">
      <c r="A3" s="2" t="s">
        <v>1103</v>
      </c>
      <c r="B3" s="2" t="s">
        <v>1104</v>
      </c>
      <c r="C3" s="2" t="s">
        <v>1105</v>
      </c>
      <c r="D3" s="2" t="s">
        <v>1106</v>
      </c>
      <c r="E3" s="2" t="s">
        <v>1077</v>
      </c>
      <c r="F3" s="2" t="s">
        <v>1107</v>
      </c>
    </row>
    <row r="4" spans="1:6">
      <c r="A4" s="3" t="s">
        <v>30</v>
      </c>
      <c r="B4" s="3" t="s">
        <v>1108</v>
      </c>
      <c r="C4" s="3" t="s">
        <v>1109</v>
      </c>
      <c r="D4" s="3" t="s">
        <v>1110</v>
      </c>
      <c r="E4" s="3" t="s">
        <v>1111</v>
      </c>
      <c r="F4" s="3" t="s">
        <v>1112</v>
      </c>
    </row>
    <row r="5" spans="1:6">
      <c r="A5" s="3" t="s">
        <v>1113</v>
      </c>
      <c r="B5" s="3" t="s">
        <v>1114</v>
      </c>
      <c r="C5" s="3" t="s">
        <v>1115</v>
      </c>
      <c r="D5" s="3" t="s">
        <v>1116</v>
      </c>
      <c r="E5" s="3" t="s">
        <v>1117</v>
      </c>
      <c r="F5" s="3" t="s">
        <v>1118</v>
      </c>
    </row>
    <row r="6" spans="1:6">
      <c r="A6" s="3" t="s">
        <v>34</v>
      </c>
      <c r="B6" s="3" t="s">
        <v>1119</v>
      </c>
      <c r="C6" s="3" t="s">
        <v>1120</v>
      </c>
      <c r="D6" s="3" t="s">
        <v>1116</v>
      </c>
      <c r="E6" s="3" t="s">
        <v>1121</v>
      </c>
      <c r="F6" s="3" t="s">
        <v>1122</v>
      </c>
    </row>
    <row r="7" spans="1:6">
      <c r="A7" s="3" t="s">
        <v>35</v>
      </c>
      <c r="B7" s="3" t="s">
        <v>1123</v>
      </c>
      <c r="C7" s="3" t="s">
        <v>1124</v>
      </c>
      <c r="D7" s="3" t="s">
        <v>1110</v>
      </c>
      <c r="E7" s="3" t="s">
        <v>1125</v>
      </c>
      <c r="F7" s="3" t="s">
        <v>1126</v>
      </c>
    </row>
    <row r="8" spans="1:6">
      <c r="A8" s="3" t="s">
        <v>1127</v>
      </c>
      <c r="B8" s="3" t="s">
        <v>1128</v>
      </c>
      <c r="C8" s="3" t="s">
        <v>1129</v>
      </c>
      <c r="D8" s="3" t="s">
        <v>1110</v>
      </c>
      <c r="E8" s="3" t="s">
        <v>1130</v>
      </c>
      <c r="F8" s="3" t="s">
        <v>1131</v>
      </c>
    </row>
    <row r="9" spans="1:6">
      <c r="A9" s="3" t="s">
        <v>1132</v>
      </c>
      <c r="B9" s="3" t="s">
        <v>1133</v>
      </c>
      <c r="C9" s="3" t="s">
        <v>1134</v>
      </c>
      <c r="D9" s="3" t="s">
        <v>1116</v>
      </c>
      <c r="E9" s="3" t="s">
        <v>1135</v>
      </c>
      <c r="F9" s="3" t="s">
        <v>1136</v>
      </c>
    </row>
    <row r="10" spans="1:6">
      <c r="A10" s="3" t="s">
        <v>36</v>
      </c>
      <c r="B10" s="3" t="s">
        <v>1137</v>
      </c>
      <c r="C10" s="3" t="s">
        <v>1138</v>
      </c>
      <c r="D10" s="3" t="s">
        <v>1116</v>
      </c>
      <c r="E10" s="3" t="s">
        <v>1139</v>
      </c>
      <c r="F10" s="3" t="s">
        <v>1140</v>
      </c>
    </row>
    <row r="11" spans="1:6">
      <c r="A11" s="3" t="s">
        <v>763</v>
      </c>
      <c r="B11" s="3" t="s">
        <v>1137</v>
      </c>
      <c r="C11" s="3" t="s">
        <v>1141</v>
      </c>
      <c r="D11" s="3" t="s">
        <v>1116</v>
      </c>
      <c r="E11" s="3" t="s">
        <v>1142</v>
      </c>
      <c r="F11" s="3" t="s">
        <v>1143</v>
      </c>
    </row>
    <row r="12" spans="1:6">
      <c r="A12" s="3" t="s">
        <v>1144</v>
      </c>
      <c r="B12" s="3" t="s">
        <v>1145</v>
      </c>
      <c r="C12" s="3" t="s">
        <v>1146</v>
      </c>
      <c r="D12" s="3" t="s">
        <v>1110</v>
      </c>
      <c r="E12" s="3" t="s">
        <v>1147</v>
      </c>
      <c r="F12" s="3" t="s">
        <v>1148</v>
      </c>
    </row>
    <row r="13" spans="1:6">
      <c r="A13" s="3" t="s">
        <v>1149</v>
      </c>
      <c r="B13" s="3" t="s">
        <v>1150</v>
      </c>
      <c r="C13" s="3" t="s">
        <v>1151</v>
      </c>
      <c r="D13" s="3" t="s">
        <v>1110</v>
      </c>
      <c r="E13" s="3" t="s">
        <v>1152</v>
      </c>
      <c r="F13" s="3" t="s">
        <v>1153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库存看板</vt:lpstr>
      <vt:lpstr>订单主数据</vt:lpstr>
      <vt:lpstr>物料档案</vt:lpstr>
      <vt:lpstr>BOM用料</vt:lpstr>
      <vt:lpstr>入库明细</vt:lpstr>
      <vt:lpstr>出库明细</vt:lpstr>
      <vt:lpstr>库存总账</vt:lpstr>
      <vt:lpstr>单位换算</vt:lpstr>
      <vt:lpstr>字段关联说明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夏亮</cp:lastModifiedBy>
  <dcterms:created xsi:type="dcterms:W3CDTF">2026-06-16T09:31:30Z</dcterms:created>
  <dcterms:modified xsi:type="dcterms:W3CDTF">2026-06-16T09:32:17Z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31283A7DC250486C941F50DC4418000C_12</vt:lpwstr>
  </property>
  <property fmtid="{D5CDD505-2E9C-101B-9397-08002B2CF9AE}" pid="3" name="KSOProductBuildVer">
    <vt:lpwstr>2052-12.1.0.19770</vt:lpwstr>
  </property>
</Properties>
</file>