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0202cbccf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五角色看板" sheetId="1" r:id="R4872ecd139ca469c"/>
    <x:sheet xmlns:r="http://schemas.openxmlformats.org/officeDocument/2006/relationships" name="简版明细" sheetId="2" r:id="Ra75bf58bdf504cc2"/>
    <x:sheet xmlns:r="http://schemas.openxmlformats.org/officeDocument/2006/relationships" name="基础设置" sheetId="3" r:id="Rafeaf9cfd049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6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F0EC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color rgb="FF16A34A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2e64e88a24b26" /><Relationship Type="http://schemas.openxmlformats.org/officeDocument/2006/relationships/theme" Target="/xl/theme/theme1.xml" Id="Re88b285a96d54fcc" /><Relationship Type="http://schemas.openxmlformats.org/officeDocument/2006/relationships/sharedStrings" Target="/xl/sharedStrings.xml" Id="R8bc1aa6084b447ed" /><Relationship Type="http://schemas.openxmlformats.org/officeDocument/2006/relationships/worksheet" Target="/xl/worksheets/sheet1.xml" Id="R4872ecd139ca469c" /><Relationship Type="http://schemas.openxmlformats.org/officeDocument/2006/relationships/worksheet" Target="/xl/worksheets/sheet2.xml" Id="Ra75bf58bdf504cc2" /><Relationship Type="http://schemas.openxmlformats.org/officeDocument/2006/relationships/worksheet" Target="/xl/worksheets/sheet3.xml" Id="Rafeaf9cfd0494af3" /></Relationships>
</file>

<file path=xl/tables/table1.xml><?xml version="1.0" encoding="utf-8"?>
<x:table xmlns:x="http://schemas.openxmlformats.org/spreadsheetml/2006/main" id="1" name="SimpleDetailTable" displayName="SimpleDetailTable" ref="A4:U94" headerRowCount="1">
  <x:tableColumns count="21">
    <x:tableColumn id="1" name="合同/销售单号"/>
    <x:tableColumn id="2" name="品番"/>
    <x:tableColumn id="3" name="款式"/>
    <x:tableColumn id="4" name="客户"/>
    <x:tableColumn id="5" name="物料类型"/>
    <x:tableColumn id="6" name="物料名称"/>
    <x:tableColumn id="7" name="单位"/>
    <x:tableColumn id="8" name="订单数"/>
    <x:tableColumn id="9" name="单耗"/>
    <x:tableColumn id="10" name="损耗率"/>
    <x:tableColumn id="11" name="计划用量"/>
    <x:tableColumn id="12" name="已入库"/>
    <x:tableColumn id="13" name="已出库"/>
    <x:tableColumn id="14" name="可用库存"/>
    <x:tableColumn id="15" name="采购状态"/>
    <x:tableColumn id="16" name="质检状态"/>
    <x:tableColumn id="17" name="生产工序"/>
    <x:tableColumn id="18" name="船期"/>
    <x:tableColumn id="19" name="责任部门"/>
    <x:tableColumn id="20" name="预警"/>
    <x:tableColumn id="21" name="下一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e6073fee2642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2.5" hidden="0" customWidth="1"/>
    <x:col min="7" max="7" width="12.5" hidden="0" customWidth="1"/>
    <x:col min="8" max="8" width="11.880000114440918" hidden="0" customWidth="1"/>
    <x:col min="9" max="9" width="18.75" hidden="0" customWidth="1"/>
    <x:col min="10" max="10" width="18.75" hidden="0" customWidth="1"/>
    <x:col min="11" max="11" width="11.25" hidden="0" customWidth="1"/>
    <x:col min="12" max="12" width="10.630000114440918" hidden="0" customWidth="1"/>
    <x:col min="13" max="13" width="11.880000114440918" hidden="0" customWidth="1"/>
    <x:col min="14" max="14" width="18.75" hidden="0" customWidth="1"/>
    <x:col min="15" max="15" width="15" hidden="0" customWidth="1"/>
  </x:cols>
  <x:sheetData>
    <x:row r="1" ht="27" customHeight="1">
      <x:c r="A1" s="4" t="str">
        <x:v>针织服装企业五角色直观看板</x:v>
      </x:c>
      <x:c r="B1" s="4" t="str">
        <x:v>针织服装企业五角色直观看板</x:v>
      </x:c>
      <x:c r="C1" s="4" t="str">
        <x:v>针织服装企业五角色直观看板</x:v>
      </x:c>
      <x:c r="D1" s="4" t="str">
        <x:v>针织服装企业五角色直观看板</x:v>
      </x:c>
      <x:c r="E1" s="4" t="str">
        <x:v>针织服装企业五角色直观看板</x:v>
      </x:c>
      <x:c r="F1" s="4" t="str">
        <x:v>针织服装企业五角色直观看板</x:v>
      </x:c>
      <x:c r="G1" s="4" t="str">
        <x:v>针织服装企业五角色直观看板</x:v>
      </x:c>
      <x:c r="H1" s="4" t="str">
        <x:v>针织服装企业五角色直观看板</x:v>
      </x:c>
      <x:c r="I1" s="4" t="str">
        <x:v>针织服装企业五角色直观看板</x:v>
      </x:c>
      <x:c r="J1" s="4" t="str">
        <x:v>针织服装企业五角色直观看板</x:v>
      </x:c>
      <x:c r="K1" s="4" t="str">
        <x:v>针织服装企业五角色直观看板</x:v>
      </x:c>
      <x:c r="L1" s="4" t="str">
        <x:v>针织服装企业五角色直观看板</x:v>
      </x:c>
      <x:c r="M1" s="4" t="str">
        <x:v>针织服装企业五角色直观看板</x:v>
      </x:c>
      <x:c r="N1" s="4" t="str">
        <x:v>针织服装企业五角色直观看板</x:v>
      </x:c>
      <x:c r="O1" s="4" t="str">
        <x:v>针织服装企业五角色直观看板</x:v>
      </x:c>
    </x:row>
    <x:row r="3">
      <x:c r="A3" s="8" t="str">
        <x:v>一张表给总经理、生产、仓库、采购、质检同时看：红黄绿预警 + 下一步动作</x:v>
      </x:c>
      <x:c r="B3" s="8" t="str">
        <x:v>一张表给总经理、生产、仓库、采购、质检同时看：红黄绿预警 + 下一步动作</x:v>
      </x:c>
      <x:c r="C3" s="8" t="str">
        <x:v>一张表给总经理、生产、仓库、采购、质检同时看：红黄绿预警 + 下一步动作</x:v>
      </x:c>
      <x:c r="D3" s="8" t="str">
        <x:v>一张表给总经理、生产、仓库、采购、质检同时看：红黄绿预警 + 下一步动作</x:v>
      </x:c>
      <x:c r="E3" s="8" t="str">
        <x:v>一张表给总经理、生产、仓库、采购、质检同时看：红黄绿预警 + 下一步动作</x:v>
      </x:c>
      <x:c r="F3" s="8" t="str">
        <x:v>一张表给总经理、生产、仓库、采购、质检同时看：红黄绿预警 + 下一步动作</x:v>
      </x:c>
      <x:c r="G3" s="8" t="str">
        <x:v>一张表给总经理、生产、仓库、采购、质检同时看：红黄绿预警 + 下一步动作</x:v>
      </x:c>
      <x:c r="H3" s="8" t="str">
        <x:v>一张表给总经理、生产、仓库、采购、质检同时看：红黄绿预警 + 下一步动作</x:v>
      </x:c>
      <x:c r="I3" s="8" t="str">
        <x:v>一张表给总经理、生产、仓库、采购、质检同时看：红黄绿预警 + 下一步动作</x:v>
      </x:c>
      <x:c r="J3" s="8" t="str">
        <x:v>一张表给总经理、生产、仓库、采购、质检同时看：红黄绿预警 + 下一步动作</x:v>
      </x:c>
      <x:c r="K3" s="8" t="str">
        <x:v>一张表给总经理、生产、仓库、采购、质检同时看：红黄绿预警 + 下一步动作</x:v>
      </x:c>
      <x:c r="L3" s="8" t="str">
        <x:v>一张表给总经理、生产、仓库、采购、质检同时看：红黄绿预警 + 下一步动作</x:v>
      </x:c>
      <x:c r="M3" s="8" t="str">
        <x:v>一张表给总经理、生产、仓库、采购、质检同时看：红黄绿预警 + 下一步动作</x:v>
      </x:c>
      <x:c r="N3" s="8" t="str">
        <x:v>一张表给总经理、生产、仓库、采购、质检同时看：红黄绿预警 + 下一步动作</x:v>
      </x:c>
      <x:c r="O3" s="8" t="str">
        <x:v>一张表给总经理、生产、仓库、采购、质检同时看：红黄绿预警 + 下一步动作</x:v>
      </x:c>
    </x:row>
    <x:row r="5">
      <x:c r="A5" s="26" t="str">
        <x:v>总订单/物料行</x:v>
      </x:c>
      <x:c r="B5" s="26" t="str">
        <x:v>异常行数</x:v>
      </x:c>
      <x:c r="C5" s="26" t="str">
        <x:v>缺料</x:v>
      </x:c>
      <x:c r="D5" s="26" t="str">
        <x:v>船期风险</x:v>
      </x:c>
      <x:c r="E5" s="26" t="str">
        <x:v>质检异常</x:v>
      </x:c>
      <x:c r="M5" s="30" t="str">
        <x:v>今日拍板事项</x:v>
      </x:c>
      <x:c r="N5" s="30" t="str">
        <x:v>今日拍板事项</x:v>
      </x:c>
      <x:c r="O5" s="30" t="str">
        <x:v>今日拍板事项</x:v>
      </x:c>
    </x:row>
    <x:row r="6">
      <x:c r="A6" s="27" t="n">
        <x:f>COUNTA('简版明细'!$A$5:$A$94)</x:f>
        <x:v>90</x:v>
      </x:c>
      <x:c r="B6" s="27" t="n">
        <x:f>COUNTIF('简版明细'!$T$5:$T$94,"&lt;&gt;正常")</x:f>
        <x:v>89</x:v>
      </x:c>
      <x:c r="C6" s="27" t="n">
        <x:f>COUNTIF('简版明细'!$T$5:$T$94,"缺料")</x:f>
        <x:v>84</x:v>
      </x:c>
      <x:c r="D6" s="27" t="n">
        <x:f>COUNTIF('简版明细'!$T$5:$T$94,"船期风险")</x:f>
        <x:v>0</x:v>
      </x:c>
      <x:c r="E6" s="27" t="n">
        <x:f>COUNTIF('简版明细'!$T$5:$T$94,"质检异常")</x:f>
        <x:v>5</x:v>
      </x:c>
      <x:c r="M6" s="37" t="str">
        <x:v>1</x:v>
      </x:c>
      <x:c r="N6" s="17" t="str">
        <x:v>缺料</x:v>
      </x:c>
      <x:c r="O6" s="17" t="str">
        <x:v>采购给明确到料日或替代料</x:v>
      </x:c>
    </x:row>
    <x:row r="7">
      <x:c r="M7" s="37" t="str">
        <x:v>2</x:v>
      </x:c>
      <x:c r="N7" s="17" t="str">
        <x:v>船期</x:v>
      </x:c>
      <x:c r="O7" s="17" t="str">
        <x:v>生产确认是否调优先级</x:v>
      </x:c>
    </x:row>
    <x:row r="8">
      <x:c r="A8" s="30" t="str">
        <x:v>总经理</x:v>
      </x:c>
      <x:c r="B8" s="30" t="str">
        <x:v>总经理</x:v>
      </x:c>
      <x:c r="C8" s="30" t="str">
        <x:v>总经理</x:v>
      </x:c>
      <x:c r="D8" s="30" t="str">
        <x:v>总经理</x:v>
      </x:c>
      <x:c r="E8" s="30" t="str">
        <x:v>总经理</x:v>
      </x:c>
      <x:c r="G8" s="30" t="str">
        <x:v>生产</x:v>
      </x:c>
      <x:c r="H8" s="30" t="str">
        <x:v>生产</x:v>
      </x:c>
      <x:c r="I8" s="30" t="str">
        <x:v>生产</x:v>
      </x:c>
      <x:c r="J8" s="30" t="str">
        <x:v>生产</x:v>
      </x:c>
      <x:c r="K8" s="30" t="str">
        <x:v>生产</x:v>
      </x:c>
      <x:c r="M8" s="37" t="str">
        <x:v>3</x:v>
      </x:c>
      <x:c r="N8" s="17" t="str">
        <x:v>质检</x:v>
      </x:c>
      <x:c r="O8" s="17" t="str">
        <x:v>不合格当天判定退换/让步</x:v>
      </x:c>
    </x:row>
    <x:row r="9">
      <x:c r="A9" s="22" t="str">
        <x:v>看什么</x:v>
      </x:c>
      <x:c r="B9" s="22" t="str">
        <x:v>异常总数</x:v>
      </x:c>
      <x:c r="C9" s="22" t="str">
        <x:v>缺料款</x:v>
      </x:c>
      <x:c r="D9" s="22" t="str">
        <x:v>船期风险</x:v>
      </x:c>
      <x:c r="E9" s="22" t="str">
        <x:v>质检异常</x:v>
      </x:c>
      <x:c r="G9" s="22" t="str">
        <x:v>看什么</x:v>
      </x:c>
      <x:c r="H9" s="22" t="str">
        <x:v>横机缺料</x:v>
      </x:c>
      <x:c r="I9" s="22" t="str">
        <x:v>裁剪缺料</x:v>
      </x:c>
      <x:c r="J9" s="22" t="str">
        <x:v>缝制后道缺料</x:v>
      </x:c>
      <x:c r="K9" s="22" t="str">
        <x:v>船期风险</x:v>
      </x:c>
      <x:c r="M9" s="37" t="str">
        <x:v>4</x:v>
      </x:c>
      <x:c r="N9" s="17" t="str">
        <x:v>仓库</x:v>
      </x:c>
      <x:c r="O9" s="17" t="str">
        <x:v>负库存和账实不符先复盘</x:v>
      </x:c>
    </x:row>
    <x:row r="10">
      <x:c r="A10" s="31" t="str">
        <x:v>数量</x:v>
      </x:c>
      <x:c r="B10" s="31" t="n">
        <x:f>B6</x:f>
        <x:v>89</x:v>
      </x:c>
      <x:c r="C10" s="31" t="n">
        <x:f>C6</x:f>
        <x:v>84</x:v>
      </x:c>
      <x:c r="D10" s="31" t="n">
        <x:f>D6</x:f>
        <x:v>0</x:v>
      </x:c>
      <x:c r="E10" s="31" t="n">
        <x:f>E6</x:f>
        <x:v>5</x:v>
      </x:c>
      <x:c r="G10" s="31" t="str">
        <x:v>数量</x:v>
      </x:c>
      <x:c r="H10" s="31" t="n">
        <x:f>COUNTIFS('简版明细'!$Q$5:$Q$94,"横机",'简版明细'!$T$5:$T$94,"缺料")</x:f>
        <x:v>31</x:v>
      </x:c>
      <x:c r="I10" s="31" t="n">
        <x:f>COUNTIFS('简版明细'!$Q$5:$Q$94,"裁剪",'简版明细'!$T$5:$T$94,"缺料")</x:f>
        <x:v>50</x:v>
      </x:c>
      <x:c r="J10" s="31" t="n">
        <x:f>COUNTIFS('简版明细'!$Q$5:$Q$94,"缝制/后道",'简版明细'!$T$5:$T$94,"缺料")</x:f>
        <x:v>3</x:v>
      </x:c>
      <x:c r="K10" s="31" t="n">
        <x:f>D6</x:f>
        <x:v>0</x:v>
      </x:c>
      <x:c r="M10" s="37" t="str"/>
      <x:c r="N10" s="17" t="str"/>
      <x:c r="O10" s="17" t="str"/>
    </x:row>
    <x:row r="11">
      <x:c r="A11" s="15" t="str">
        <x:v>判断</x:v>
      </x:c>
      <x:c r="B11" s="15" t="str">
        <x:v>是否影响交期/客户</x:v>
      </x:c>
      <x:c r="C11" s="15" t="str">
        <x:v>是否要换料/加急</x:v>
      </x:c>
      <x:c r="D11" s="15" t="str">
        <x:v>是否要调整排产</x:v>
      </x:c>
      <x:c r="E11" s="15" t="str">
        <x:v>是否要退换/让步</x:v>
      </x:c>
      <x:c r="G11" s="15" t="str">
        <x:v>判断</x:v>
      </x:c>
      <x:c r="H11" s="15" t="str">
        <x:v>横机能否开机</x:v>
      </x:c>
      <x:c r="I11" s="15" t="str">
        <x:v>裁床能否开裁</x:v>
      </x:c>
      <x:c r="J11" s="15" t="str">
        <x:v>辅料是否齐套</x:v>
      </x:c>
      <x:c r="K11" s="15" t="str">
        <x:v>是否影响船期</x:v>
      </x:c>
      <x:c r="M11" s="37" t="str">
        <x:v>看板原则</x:v>
      </x:c>
      <x:c r="N11" s="17" t="str">
        <x:v>红色先处理</x:v>
      </x:c>
      <x:c r="O11" s="17" t="str">
        <x:v>黄色每日跟进</x:v>
      </x:c>
    </x:row>
    <x:row r="12">
      <x:c r="A12" s="15" t="str">
        <x:v>动作</x:v>
      </x:c>
      <x:c r="B12" s="15" t="str">
        <x:v>每日例会看红黄项</x:v>
      </x:c>
      <x:c r="C12" s="15" t="str">
        <x:v>采购给到料日期</x:v>
      </x:c>
      <x:c r="D12" s="15" t="str">
        <x:v>生产重排计划</x:v>
      </x:c>
      <x:c r="E12" s="15" t="str">
        <x:v>质检当天判定</x:v>
      </x:c>
      <x:c r="G12" s="15" t="str">
        <x:v>动作</x:v>
      </x:c>
      <x:c r="H12" s="15" t="str">
        <x:v>只排可开工款</x:v>
      </x:c>
      <x:c r="I12" s="15" t="str">
        <x:v>缺料款不裁</x:v>
      </x:c>
      <x:c r="J12" s="15" t="str">
        <x:v>辅料到齐再上线</x:v>
      </x:c>
      <x:c r="K12" s="15" t="str">
        <x:v>调整优先级</x:v>
      </x:c>
      <x:c r="M12" s="37" t="str">
        <x:v>录入入口</x:v>
      </x:c>
      <x:c r="N12" s="17" t="str">
        <x:v>简版明细</x:v>
      </x:c>
      <x:c r="O12" s="17" t="str">
        <x:v>只改状态和数量</x:v>
      </x:c>
    </x:row>
    <x:row r="13">
      <x:c r="A13" s="15"/>
      <x:c r="B13" s="15"/>
      <x:c r="C13" s="15"/>
      <x:c r="D13" s="15"/>
      <x:c r="E13" s="15"/>
      <x:c r="G13" s="15"/>
      <x:c r="H13" s="15"/>
      <x:c r="I13" s="15"/>
      <x:c r="J13" s="15"/>
      <x:c r="K13" s="15"/>
      <x:c r="M13" s="37" t="str">
        <x:v>会议节奏</x:v>
      </x:c>
      <x:c r="N13" s="17" t="str">
        <x:v>10分钟</x:v>
      </x:c>
      <x:c r="O13" s="17" t="str">
        <x:v>只看预警清单</x:v>
      </x:c>
    </x:row>
    <x:row r="16">
      <x:c r="A16" s="30" t="str">
        <x:v>仓库</x:v>
      </x:c>
      <x:c r="B16" s="30" t="str">
        <x:v>仓库</x:v>
      </x:c>
      <x:c r="C16" s="30" t="str">
        <x:v>仓库</x:v>
      </x:c>
      <x:c r="D16" s="30" t="str">
        <x:v>仓库</x:v>
      </x:c>
      <x:c r="E16" s="30" t="str">
        <x:v>仓库</x:v>
      </x:c>
      <x:c r="G16" s="30" t="str">
        <x:v>采购</x:v>
      </x:c>
      <x:c r="H16" s="30" t="str">
        <x:v>采购</x:v>
      </x:c>
      <x:c r="I16" s="30" t="str">
        <x:v>采购</x:v>
      </x:c>
      <x:c r="J16" s="30" t="str">
        <x:v>采购</x:v>
      </x:c>
      <x:c r="K16" s="30" t="str">
        <x:v>采购</x:v>
      </x:c>
    </x:row>
    <x:row r="17">
      <x:c r="A17" s="22" t="str">
        <x:v>看什么</x:v>
      </x:c>
      <x:c r="B17" s="22" t="str">
        <x:v>可发料</x:v>
      </x:c>
      <x:c r="C17" s="22" t="str">
        <x:v>缺料</x:v>
      </x:c>
      <x:c r="D17" s="22" t="str">
        <x:v>负库存</x:v>
      </x:c>
      <x:c r="E17" s="22" t="str">
        <x:v>待复盘</x:v>
      </x:c>
      <x:c r="G17" s="22" t="str">
        <x:v>看什么</x:v>
      </x:c>
      <x:c r="H17" s="22" t="str">
        <x:v>未到料</x:v>
      </x:c>
      <x:c r="I17" s="22" t="str">
        <x:v>部分到料</x:v>
      </x:c>
      <x:c r="J17" s="22" t="str">
        <x:v>缺料</x:v>
      </x:c>
      <x:c r="K17" s="22" t="str">
        <x:v>退换货</x:v>
      </x:c>
    </x:row>
    <x:row r="18">
      <x:c r="A18" s="31" t="str">
        <x:v>数量</x:v>
      </x:c>
      <x:c r="B18" s="31" t="n">
        <x:f>COUNTIFS('简版明细'!$T$5:$T$94,"正常")</x:f>
        <x:v>1</x:v>
      </x:c>
      <x:c r="C18" s="31" t="n">
        <x:f>C6</x:f>
        <x:v>84</x:v>
      </x:c>
      <x:c r="D18" s="31" t="n">
        <x:f>COUNTIF('简版明细'!$T$5:$T$94,"负库存")</x:f>
        <x:v>0</x:v>
      </x:c>
      <x:c r="E18" s="31" t="n">
        <x:f>COUNTIF('简版明细'!$U$5:$U$94,"仓库复盘库存")</x:f>
        <x:v>0</x:v>
      </x:c>
      <x:c r="G18" s="31" t="str">
        <x:v>数量</x:v>
      </x:c>
      <x:c r="H18" s="31" t="n">
        <x:f>COUNTIF('简版明细'!$O$5:$O$94,"未到料")</x:f>
        <x:v>0</x:v>
      </x:c>
      <x:c r="I18" s="31" t="n">
        <x:f>COUNTIF('简版明细'!$O$5:$O$94,"部分到料")</x:f>
        <x:v>35</x:v>
      </x:c>
      <x:c r="J18" s="31" t="n">
        <x:f>C6</x:f>
        <x:v>84</x:v>
      </x:c>
      <x:c r="K18" s="31" t="n">
        <x:f>COUNTIF('简版明细'!$O$5:$O$94,"退换货")</x:f>
        <x:v>0</x:v>
      </x:c>
    </x:row>
    <x:row r="19">
      <x:c r="A19" s="15" t="str">
        <x:v>判断</x:v>
      </x:c>
      <x:c r="B19" s="15" t="str">
        <x:v>哪些可直接发</x:v>
      </x:c>
      <x:c r="C19" s="15" t="str">
        <x:v>哪些不能发</x:v>
      </x:c>
      <x:c r="D19" s="15" t="str">
        <x:v>账实是否异常</x:v>
      </x:c>
      <x:c r="E19" s="15" t="str">
        <x:v>是否要盘点</x:v>
      </x:c>
      <x:c r="G19" s="15" t="str">
        <x:v>判断</x:v>
      </x:c>
      <x:c r="H19" s="15" t="str">
        <x:v>供应商是否延迟</x:v>
      </x:c>
      <x:c r="I19" s="15" t="str">
        <x:v>是否能先开工</x:v>
      </x:c>
      <x:c r="J19" s="15" t="str">
        <x:v>是否要加急/替代</x:v>
      </x:c>
      <x:c r="K19" s="15" t="str">
        <x:v>是否影响交期</x:v>
      </x:c>
    </x:row>
    <x:row r="20">
      <x:c r="A20" s="15" t="str">
        <x:v>动作</x:v>
      </x:c>
      <x:c r="B20" s="15" t="str">
        <x:v>按工序发料</x:v>
      </x:c>
      <x:c r="C20" s="15" t="str">
        <x:v>反馈采购/生产</x:v>
      </x:c>
      <x:c r="D20" s="15" t="str">
        <x:v>当天复盘</x:v>
      </x:c>
      <x:c r="E20" s="15" t="str">
        <x:v>补录批次库位</x:v>
      </x:c>
      <x:c r="G20" s="15" t="str">
        <x:v>动作</x:v>
      </x:c>
      <x:c r="H20" s="15" t="str">
        <x:v>确认 ETA</x:v>
      </x:c>
      <x:c r="I20" s="15" t="str">
        <x:v>分批入库</x:v>
      </x:c>
      <x:c r="J20" s="15" t="str">
        <x:v>找替代料</x:v>
      </x:c>
      <x:c r="K20" s="15" t="str">
        <x:v>跟进退换</x:v>
      </x:c>
    </x:row>
    <x:row r="21">
      <x:c r="A21" s="15"/>
      <x:c r="B21" s="15"/>
      <x:c r="C21" s="15"/>
      <x:c r="D21" s="15"/>
      <x:c r="E21" s="15"/>
      <x:c r="G21" s="15"/>
      <x:c r="H21" s="15"/>
      <x:c r="I21" s="15"/>
      <x:c r="J21" s="15"/>
      <x:c r="K21" s="15"/>
    </x:row>
    <x:row r="24">
      <x:c r="A24" s="30" t="str">
        <x:v>质检</x:v>
      </x:c>
      <x:c r="B24" s="30" t="str">
        <x:v>质检</x:v>
      </x:c>
      <x:c r="C24" s="30" t="str">
        <x:v>质检</x:v>
      </x:c>
      <x:c r="D24" s="30" t="str">
        <x:v>质检</x:v>
      </x:c>
      <x:c r="E24" s="30" t="str">
        <x:v>质检</x:v>
      </x:c>
      <x:c r="G24" s="8" t="str">
        <x:v>红黄预警清单：各部门每天只处理这些行</x:v>
      </x:c>
      <x:c r="H24" s="8" t="str">
        <x:v>红黄预警清单：各部门每天只处理这些行</x:v>
      </x:c>
      <x:c r="I24" s="8" t="str">
        <x:v>红黄预警清单：各部门每天只处理这些行</x:v>
      </x:c>
      <x:c r="J24" s="8" t="str">
        <x:v>红黄预警清单：各部门每天只处理这些行</x:v>
      </x:c>
      <x:c r="K24" s="8" t="str">
        <x:v>红黄预警清单：各部门每天只处理这些行</x:v>
      </x:c>
      <x:c r="L24" s="8" t="str">
        <x:v>红黄预警清单：各部门每天只处理这些行</x:v>
      </x:c>
      <x:c r="M24" s="8" t="str">
        <x:v>红黄预警清单：各部门每天只处理这些行</x:v>
      </x:c>
      <x:c r="N24" s="8" t="str">
        <x:v>红黄预警清单：各部门每天只处理这些行</x:v>
      </x:c>
      <x:c r="O24" s="8" t="str">
        <x:v>红黄预警清单：各部门每天只处理这些行</x:v>
      </x:c>
    </x:row>
    <x:row r="25">
      <x:c r="A25" s="22" t="str">
        <x:v>看什么</x:v>
      </x:c>
      <x:c r="B25" s="22" t="str">
        <x:v>待检</x:v>
      </x:c>
      <x:c r="C25" s="22" t="str">
        <x:v>合格</x:v>
      </x:c>
      <x:c r="D25" s="22" t="str">
        <x:v>不合格</x:v>
      </x:c>
      <x:c r="E25" s="22" t="str">
        <x:v>让步接收</x:v>
      </x:c>
      <x:c r="G25" s="22" t="str">
        <x:v>订单号</x:v>
      </x:c>
      <x:c r="H25" s="22" t="str">
        <x:v>品番</x:v>
      </x:c>
      <x:c r="I25" s="22" t="str">
        <x:v>款式</x:v>
      </x:c>
      <x:c r="J25" s="22" t="str">
        <x:v>物料</x:v>
      </x:c>
      <x:c r="K25" s="22" t="str">
        <x:v>工序</x:v>
      </x:c>
      <x:c r="L25" s="22" t="str">
        <x:v>船期</x:v>
      </x:c>
      <x:c r="M25" s="22" t="str">
        <x:v>预警</x:v>
      </x:c>
      <x:c r="N25" s="22" t="str">
        <x:v>下一步</x:v>
      </x:c>
      <x:c r="O25" s="22" t="str">
        <x:v>责任部门</x:v>
      </x:c>
    </x:row>
    <x:row r="26">
      <x:c r="A26" s="31" t="str">
        <x:v>数量</x:v>
      </x:c>
      <x:c r="B26" s="31" t="n">
        <x:f>COUNTIF('简版明细'!$P$5:$P$94,"待检")</x:f>
        <x:v>9</x:v>
      </x:c>
      <x:c r="C26" s="31" t="n">
        <x:f>COUNTIF('简版明细'!$P$5:$P$94,"合格")</x:f>
        <x:v>76</x:v>
      </x:c>
      <x:c r="D26" s="31" t="n">
        <x:f>COUNTIF('简版明细'!$P$5:$P$94,"不合格")</x:f>
        <x:v>5</x:v>
      </x:c>
      <x:c r="E26" s="31" t="n">
        <x:f>COUNTIF('简版明细'!$P$5:$P$94,"让步接收")</x:f>
        <x:v>0</x:v>
      </x:c>
      <x:c r="G26" s="15" t="str">
        <x:f>IF('简版明细'!$T5="正常","",'简版明细'!$A5)</x:f>
      </x:c>
      <x:c r="H26" s="15" t="str">
        <x:f>IF('简版明细'!$T5="正常","",'简版明细'!$B5)</x:f>
      </x:c>
      <x:c r="I26" s="15" t="str">
        <x:f>IF('简版明细'!$T5="正常","",'简版明细'!$C5)</x:f>
      </x:c>
      <x:c r="J26" s="15" t="str">
        <x:f>IF('简版明细'!$T5="正常","",'简版明细'!$F5)</x:f>
      </x:c>
      <x:c r="K26" s="15" t="str">
        <x:f>IF('简版明细'!$T5="正常","",'简版明细'!$Q5)</x:f>
      </x:c>
      <x:c r="L26" s="32" t="str">
        <x:f>IF('简版明细'!$T5="正常","",'简版明细'!$R5)</x:f>
      </x:c>
      <x:c r="M26" s="15" t="str">
        <x:f>IF('简版明细'!$T5="正常","",'简版明细'!$T5)</x:f>
      </x:c>
      <x:c r="N26" s="15" t="str">
        <x:f>IF('简版明细'!$T5="正常","",'简版明细'!$U5)</x:f>
      </x:c>
      <x:c r="O26" s="15" t="str">
        <x:f>IF('简版明细'!$T5="正常","",'简版明细'!$S5)</x:f>
      </x:c>
    </x:row>
    <x:row r="27">
      <x:c r="A27" s="15" t="str">
        <x:v>判断</x:v>
      </x:c>
      <x:c r="B27" s="15" t="str">
        <x:v>是否卡住入库</x:v>
      </x:c>
      <x:c r="C27" s="15" t="str">
        <x:v>是否可发料</x:v>
      </x:c>
      <x:c r="D27" s="15" t="str">
        <x:v>是否要退换</x:v>
      </x:c>
      <x:c r="E27" s="15" t="str">
        <x:v>是否需经理确认</x:v>
      </x:c>
      <x:c r="G27" s="15" t="str">
        <x:f>IF('简版明细'!$T6="正常","",'简版明细'!$A6)</x:f>
        <x:v>SO250714-252</x:v>
      </x:c>
      <x:c r="H27" s="15" t="str">
        <x:f>IF('简版明细'!$T6="正常","",'简版明细'!$B6)</x:f>
        <x:v>66SPSM611</x:v>
      </x:c>
      <x:c r="I27" s="15" t="str">
        <x:f>IF('简版明细'!$T6="正常","",'简版明细'!$C6)</x:f>
        <x:v>男士毛衣开衫</x:v>
      </x:c>
      <x:c r="J27" s="15" t="str">
        <x:f>IF('简版明细'!$T6="正常","",'简版明细'!$F6)</x:f>
        <x:v>150D全涤线</x:v>
      </x:c>
      <x:c r="K27" s="15" t="str">
        <x:f>IF('简版明细'!$T6="正常","",'简版明细'!$Q6)</x:f>
        <x:v>横机</x:v>
      </x:c>
      <x:c r="L27" s="32" t="str">
        <x:f>IF('简版明细'!$T6="正常","",'简版明细'!$R6)</x:f>
        <x:v>2026-01-23</x:v>
      </x:c>
      <x:c r="M27" s="15" t="str">
        <x:f>IF('简版明细'!$T6="正常","",'简版明细'!$T6)</x:f>
        <x:v>缺料</x:v>
      </x:c>
      <x:c r="N27" s="15" t="str">
        <x:f>IF('简版明细'!$T6="正常","",'简版明细'!$U6)</x:f>
        <x:v>采购确认到料/替代料</x:v>
      </x:c>
      <x:c r="O27" s="15" t="str">
        <x:f>IF('简版明细'!$T6="正常","",'简版明细'!$S6)</x:f>
        <x:v>生产/横机</x:v>
      </x:c>
    </x:row>
    <x:row r="28">
      <x:c r="A28" s="15" t="str">
        <x:v>动作</x:v>
      </x:c>
      <x:c r="B28" s="15" t="str">
        <x:v>当天检完</x:v>
      </x:c>
      <x:c r="C28" s="15" t="str">
        <x:v>放行</x:v>
      </x:c>
      <x:c r="D28" s="15" t="str">
        <x:v>开异常单</x:v>
      </x:c>
      <x:c r="E28" s="15" t="str">
        <x:v>记录让步原因</x:v>
      </x:c>
      <x:c r="G28" s="15" t="str">
        <x:f>IF('简版明细'!$T7="正常","",'简版明细'!$A7)</x:f>
        <x:v>SO251020-722</x:v>
      </x:c>
      <x:c r="H28" s="15" t="str">
        <x:f>IF('简版明细'!$T7="正常","",'简版明细'!$B7)</x:f>
        <x:v>42-14-0299-639</x:v>
      </x:c>
      <x:c r="I28" s="15" t="str">
        <x:f>IF('简版明细'!$T7="正常","",'简版明细'!$C7)</x:f>
        <x:v>男士针织T恤衫</x:v>
      </x:c>
      <x:c r="J28" s="15" t="str">
        <x:f>IF('简版明细'!$T7="正常","",'简版明细'!$F7)</x:f>
        <x:v>面料F01752</x:v>
      </x:c>
      <x:c r="K28" s="15" t="str">
        <x:f>IF('简版明细'!$T7="正常","",'简版明细'!$Q7)</x:f>
        <x:v>裁剪</x:v>
      </x:c>
      <x:c r="L28" s="32" t="str">
        <x:f>IF('简版明细'!$T7="正常","",'简版明细'!$R7)</x:f>
        <x:v>2026-01-02</x:v>
      </x:c>
      <x:c r="M28" s="15" t="str">
        <x:f>IF('简版明细'!$T7="正常","",'简版明细'!$T7)</x:f>
        <x:v>缺料</x:v>
      </x:c>
      <x:c r="N28" s="15" t="str">
        <x:f>IF('简版明细'!$T7="正常","",'简版明细'!$U7)</x:f>
        <x:v>采购确认到料/替代料</x:v>
      </x:c>
      <x:c r="O28" s="15" t="str">
        <x:f>IF('简版明细'!$T7="正常","",'简版明细'!$S7)</x:f>
        <x:v>仓库/裁剪</x:v>
      </x:c>
    </x:row>
    <x:row r="29">
      <x:c r="A29" s="15"/>
      <x:c r="B29" s="15"/>
      <x:c r="C29" s="15"/>
      <x:c r="D29" s="15"/>
      <x:c r="E29" s="15"/>
      <x:c r="G29" s="15" t="str">
        <x:f>IF('简版明细'!$T8="正常","",'简版明细'!$A8)</x:f>
        <x:v>SO251020-722</x:v>
      </x:c>
      <x:c r="H29" s="15" t="str">
        <x:f>IF('简版明细'!$T8="正常","",'简版明细'!$B8)</x:f>
        <x:v>42-14-0299-639</x:v>
      </x:c>
      <x:c r="I29" s="15" t="str">
        <x:f>IF('简版明细'!$T8="正常","",'简版明细'!$C8)</x:f>
        <x:v>男士针织T恤衫</x:v>
      </x:c>
      <x:c r="J29" s="15" t="str">
        <x:f>IF('简版明细'!$T8="正常","",'简版明细'!$F8)</x:f>
        <x:v>面料F05140</x:v>
      </x:c>
      <x:c r="K29" s="15" t="str">
        <x:f>IF('简版明细'!$T8="正常","",'简版明细'!$Q8)</x:f>
        <x:v>裁剪</x:v>
      </x:c>
      <x:c r="L29" s="32" t="str">
        <x:f>IF('简版明细'!$T8="正常","",'简版明细'!$R8)</x:f>
        <x:v>2026-01-02</x:v>
      </x:c>
      <x:c r="M29" s="15" t="str">
        <x:f>IF('简版明细'!$T8="正常","",'简版明细'!$T8)</x:f>
        <x:v>缺料</x:v>
      </x:c>
      <x:c r="N29" s="15" t="str">
        <x:f>IF('简版明细'!$T8="正常","",'简版明细'!$U8)</x:f>
        <x:v>采购确认到料/替代料</x:v>
      </x:c>
      <x:c r="O29" s="15" t="str">
        <x:f>IF('简版明细'!$T8="正常","",'简版明细'!$S8)</x:f>
        <x:v>仓库/裁剪</x:v>
      </x:c>
    </x:row>
    <x:row r="30">
      <x:c r="G30" s="15" t="str">
        <x:f>IF('简版明细'!$T9="正常","",'简版明细'!$A9)</x:f>
        <x:v>SO260318-1579</x:v>
      </x:c>
      <x:c r="H30" s="15" t="str">
        <x:f>IF('简版明细'!$T9="正常","",'简版明细'!$B9)</x:f>
        <x:v>12-04-0209-802</x:v>
      </x:c>
      <x:c r="I30" s="15" t="str">
        <x:f>IF('简版明细'!$T9="正常","",'简版明细'!$C9)</x:f>
        <x:v>男士T恤</x:v>
      </x:c>
      <x:c r="J30" s="15" t="str">
        <x:f>IF('简版明细'!$T9="正常","",'简版明细'!$F9)</x:f>
        <x:v>F04595 全涤华夫格</x:v>
      </x:c>
      <x:c r="K30" s="15" t="str">
        <x:f>IF('简版明细'!$T9="正常","",'简版明细'!$Q9)</x:f>
        <x:v>裁剪</x:v>
      </x:c>
      <x:c r="L30" s="32" t="str">
        <x:f>IF('简版明细'!$T9="正常","",'简版明细'!$R9)</x:f>
        <x:v>2026-01-23</x:v>
      </x:c>
      <x:c r="M30" s="15" t="str">
        <x:f>IF('简版明细'!$T9="正常","",'简版明细'!$T9)</x:f>
        <x:v>缺料</x:v>
      </x:c>
      <x:c r="N30" s="15" t="str">
        <x:f>IF('简版明细'!$T9="正常","",'简版明细'!$U9)</x:f>
        <x:v>采购确认到料/替代料</x:v>
      </x:c>
      <x:c r="O30" s="15" t="str">
        <x:f>IF('简版明细'!$T9="正常","",'简版明细'!$S9)</x:f>
        <x:v>仓库/裁剪</x:v>
      </x:c>
    </x:row>
    <x:row r="31">
      <x:c r="G31" s="15" t="str">
        <x:f>IF('简版明细'!$T10="正常","",'简版明细'!$A10)</x:f>
        <x:v>SO260318-1579</x:v>
      </x:c>
      <x:c r="H31" s="15" t="str">
        <x:f>IF('简版明细'!$T10="正常","",'简版明细'!$B10)</x:f>
        <x:v>12-04-0209-802</x:v>
      </x:c>
      <x:c r="I31" s="15" t="str">
        <x:f>IF('简版明细'!$T10="正常","",'简版明细'!$C10)</x:f>
        <x:v>男士T恤</x:v>
      </x:c>
      <x:c r="J31" s="15" t="str">
        <x:f>IF('简版明细'!$T10="正常","",'简版明细'!$F10)</x:f>
        <x:v>F04858全涤螺纹</x:v>
      </x:c>
      <x:c r="K31" s="15" t="str">
        <x:f>IF('简版明细'!$T10="正常","",'简版明细'!$Q10)</x:f>
        <x:v>裁剪</x:v>
      </x:c>
      <x:c r="L31" s="32" t="str">
        <x:f>IF('简版明细'!$T10="正常","",'简版明细'!$R10)</x:f>
        <x:v>2026-01-23</x:v>
      </x:c>
      <x:c r="M31" s="15" t="str">
        <x:f>IF('简版明细'!$T10="正常","",'简版明细'!$T10)</x:f>
        <x:v>缺料</x:v>
      </x:c>
      <x:c r="N31" s="15" t="str">
        <x:f>IF('简版明细'!$T10="正常","",'简版明细'!$U10)</x:f>
        <x:v>采购确认到料/替代料</x:v>
      </x:c>
      <x:c r="O31" s="15" t="str">
        <x:f>IF('简版明细'!$T10="正常","",'简版明细'!$S10)</x:f>
        <x:v>仓库/裁剪</x:v>
      </x:c>
    </x:row>
    <x:row r="32">
      <x:c r="G32" s="15" t="str">
        <x:f>IF('简版明细'!$T11="正常","",'简版明细'!$A11)</x:f>
        <x:v>SO260318-1581</x:v>
      </x:c>
      <x:c r="H32" s="15" t="str">
        <x:f>IF('简版明细'!$T11="正常","",'简版明细'!$B11)</x:f>
        <x:v>11-05-0145-803</x:v>
      </x:c>
      <x:c r="I32" s="15" t="str">
        <x:f>IF('简版明细'!$T11="正常","",'简版明细'!$C11)</x:f>
        <x:v>男士条纹毛衣</x:v>
      </x:c>
      <x:c r="J32" s="15" t="str">
        <x:f>IF('简版明细'!$T11="正常","",'简版明细'!$F11)</x:f>
        <x:v>150D涤丝</x:v>
      </x:c>
      <x:c r="K32" s="15" t="str">
        <x:f>IF('简版明细'!$T11="正常","",'简版明细'!$Q11)</x:f>
        <x:v>横机</x:v>
      </x:c>
      <x:c r="L32" s="32" t="str">
        <x:f>IF('简版明细'!$T11="正常","",'简版明细'!$R11)</x:f>
        <x:v>2026-01-23</x:v>
      </x:c>
      <x:c r="M32" s="15" t="str">
        <x:f>IF('简版明细'!$T11="正常","",'简版明细'!$T11)</x:f>
        <x:v>缺料</x:v>
      </x:c>
      <x:c r="N32" s="15" t="str">
        <x:f>IF('简版明细'!$T11="正常","",'简版明细'!$U11)</x:f>
        <x:v>采购确认到料/替代料</x:v>
      </x:c>
      <x:c r="O32" s="15" t="str">
        <x:f>IF('简版明细'!$T11="正常","",'简版明细'!$S11)</x:f>
        <x:v>生产/横机</x:v>
      </x:c>
    </x:row>
    <x:row r="33">
      <x:c r="G33" s="15" t="str">
        <x:f>IF('简版明细'!$T12="正常","",'简版明细'!$A12)</x:f>
        <x:v>SO260318-1581</x:v>
      </x:c>
      <x:c r="H33" s="15" t="str">
        <x:f>IF('简版明细'!$T12="正常","",'简版明细'!$B12)</x:f>
        <x:v>11-05-0145-803</x:v>
      </x:c>
      <x:c r="I33" s="15" t="str">
        <x:f>IF('简版明细'!$T12="正常","",'简版明细'!$C12)</x:f>
        <x:v>男士条纹毛衣</x:v>
      </x:c>
      <x:c r="J33" s="15" t="str">
        <x:f>IF('简版明细'!$T12="正常","",'简版明细'!$F12)</x:f>
        <x:v>150D涤丝</x:v>
      </x:c>
      <x:c r="K33" s="15" t="str">
        <x:f>IF('简版明细'!$T12="正常","",'简版明细'!$Q12)</x:f>
        <x:v>横机</x:v>
      </x:c>
      <x:c r="L33" s="32" t="str">
        <x:f>IF('简版明细'!$T12="正常","",'简版明细'!$R12)</x:f>
        <x:v>2026-01-23</x:v>
      </x:c>
      <x:c r="M33" s="15" t="str">
        <x:f>IF('简版明细'!$T12="正常","",'简版明细'!$T12)</x:f>
        <x:v>缺料</x:v>
      </x:c>
      <x:c r="N33" s="15" t="str">
        <x:f>IF('简版明细'!$T12="正常","",'简版明细'!$U12)</x:f>
        <x:v>采购确认到料/替代料</x:v>
      </x:c>
      <x:c r="O33" s="15" t="str">
        <x:f>IF('简版明细'!$T12="正常","",'简版明细'!$S12)</x:f>
        <x:v>生产/横机</x:v>
      </x:c>
    </x:row>
    <x:row r="34">
      <x:c r="G34" s="15" t="str">
        <x:f>IF('简版明细'!$T13="正常","",'简版明细'!$A13)</x:f>
        <x:v>SO260318-1590</x:v>
      </x:c>
      <x:c r="H34" s="15" t="str">
        <x:f>IF('简版明细'!$T13="正常","",'简版明细'!$B13)</x:f>
        <x:v>11-13-2266-803</x:v>
      </x:c>
      <x:c r="I34" s="15" t="str">
        <x:f>IF('简版明细'!$T13="正常","",'简版明细'!$C13)</x:f>
        <x:v>男士针织拉链开衫</x:v>
      </x:c>
      <x:c r="J34" s="15" t="str">
        <x:f>IF('简版明细'!$T13="正常","",'简版明细'!$F13)</x:f>
        <x:v>F05721 精编空花</x:v>
      </x:c>
      <x:c r="K34" s="15" t="str">
        <x:f>IF('简版明细'!$T13="正常","",'简版明细'!$Q13)</x:f>
        <x:v>裁剪</x:v>
      </x:c>
      <x:c r="L34" s="32" t="str">
        <x:f>IF('简版明细'!$T13="正常","",'简版明细'!$R13)</x:f>
        <x:v>2026-01-23</x:v>
      </x:c>
      <x:c r="M34" s="15" t="str">
        <x:f>IF('简版明细'!$T13="正常","",'简版明细'!$T13)</x:f>
        <x:v>缺料</x:v>
      </x:c>
      <x:c r="N34" s="15" t="str">
        <x:f>IF('简版明细'!$T13="正常","",'简版明细'!$U13)</x:f>
        <x:v>采购确认到料/替代料</x:v>
      </x:c>
      <x:c r="O34" s="15" t="str">
        <x:f>IF('简版明细'!$T13="正常","",'简版明细'!$S13)</x:f>
        <x:v>仓库/裁剪</x:v>
      </x:c>
    </x:row>
    <x:row r="35">
      <x:c r="G35" s="15" t="str">
        <x:f>IF('简版明细'!$T14="正常","",'简版明细'!$A14)</x:f>
        <x:v>SO260318-1577</x:v>
      </x:c>
      <x:c r="H35" s="15" t="str">
        <x:f>IF('简版明细'!$T14="正常","",'简版明细'!$B14)</x:f>
        <x:v>11-13-1661-803</x:v>
      </x:c>
      <x:c r="I35" s="15" t="str">
        <x:f>IF('简版明细'!$T14="正常","",'简版明细'!$C14)</x:f>
        <x:v>男士风帽套头衫</x:v>
      </x:c>
      <x:c r="J35" s="15" t="str">
        <x:f>IF('简版明细'!$T14="正常","",'简版明细'!$F14)</x:f>
        <x:v>客供毛圈</x:v>
      </x:c>
      <x:c r="K35" s="15" t="str">
        <x:f>IF('简版明细'!$T14="正常","",'简版明细'!$Q14)</x:f>
        <x:v>横机</x:v>
      </x:c>
      <x:c r="L35" s="32" t="str">
        <x:f>IF('简版明细'!$T14="正常","",'简版明细'!$R14)</x:f>
        <x:v>2026-01-23</x:v>
      </x:c>
      <x:c r="M35" s="15" t="str">
        <x:f>IF('简版明细'!$T14="正常","",'简版明细'!$T14)</x:f>
        <x:v>缺料</x:v>
      </x:c>
      <x:c r="N35" s="15" t="str">
        <x:f>IF('简版明细'!$T14="正常","",'简版明细'!$U14)</x:f>
        <x:v>采购确认到料/替代料</x:v>
      </x:c>
      <x:c r="O35" s="15" t="str">
        <x:f>IF('简版明细'!$T14="正常","",'简版明细'!$S14)</x:f>
        <x:v>生产/横机</x:v>
      </x:c>
    </x:row>
    <x:row r="36">
      <x:c r="G36" s="15" t="str">
        <x:f>IF('简版明细'!$T15="正常","",'简版明细'!$A15)</x:f>
        <x:v>SO260318-1577</x:v>
      </x:c>
      <x:c r="H36" s="15" t="str">
        <x:f>IF('简版明细'!$T15="正常","",'简版明细'!$B15)</x:f>
        <x:v>11-13-1661-803</x:v>
      </x:c>
      <x:c r="I36" s="15" t="str">
        <x:f>IF('简版明细'!$T15="正常","",'简版明细'!$C15)</x:f>
        <x:v>男士风帽套头衫</x:v>
      </x:c>
      <x:c r="J36" s="15" t="str">
        <x:f>IF('简版明细'!$T15="正常","",'简版明细'!$F15)</x:f>
        <x:v>2*2罗文</x:v>
      </x:c>
      <x:c r="K36" s="15" t="str">
        <x:f>IF('简版明细'!$T15="正常","",'简版明细'!$Q15)</x:f>
        <x:v>缝制/后道</x:v>
      </x:c>
      <x:c r="L36" s="32" t="str">
        <x:f>IF('简版明细'!$T15="正常","",'简版明细'!$R15)</x:f>
        <x:v>2026-01-23</x:v>
      </x:c>
      <x:c r="M36" s="15" t="str">
        <x:f>IF('简版明细'!$T15="正常","",'简版明细'!$T15)</x:f>
        <x:v>缺料</x:v>
      </x:c>
      <x:c r="N36" s="15" t="str">
        <x:f>IF('简版明细'!$T15="正常","",'简版明细'!$U15)</x:f>
        <x:v>采购确认到料/替代料</x:v>
      </x:c>
      <x:c r="O36" s="15" t="str">
        <x:f>IF('简版明细'!$T15="正常","",'简版明细'!$S15)</x:f>
        <x:v>仓库/辅料</x:v>
      </x:c>
    </x:row>
    <x:row r="37">
      <x:c r="G37" s="15" t="str">
        <x:f>IF('简版明细'!$T16="正常","",'简版明细'!$A16)</x:f>
        <x:v>SO260318-1577</x:v>
      </x:c>
      <x:c r="H37" s="15" t="str">
        <x:f>IF('简版明细'!$T16="正常","",'简版明细'!$B16)</x:f>
        <x:v>11-13-1661-803</x:v>
      </x:c>
      <x:c r="I37" s="15" t="str">
        <x:f>IF('简版明细'!$T16="正常","",'简版明细'!$C16)</x:f>
        <x:v>男士风帽套头衫</x:v>
      </x:c>
      <x:c r="J37" s="15" t="str">
        <x:f>IF('简版明细'!$T16="正常","",'简版明细'!$F16)</x:f>
        <x:v>20/1汗布</x:v>
      </x:c>
      <x:c r="K37" s="15" t="str">
        <x:f>IF('简版明细'!$T16="正常","",'简版明细'!$Q16)</x:f>
        <x:v>裁剪</x:v>
      </x:c>
      <x:c r="L37" s="32" t="str">
        <x:f>IF('简版明细'!$T16="正常","",'简版明细'!$R16)</x:f>
        <x:v>2026-01-23</x:v>
      </x:c>
      <x:c r="M37" s="15" t="str">
        <x:f>IF('简版明细'!$T16="正常","",'简版明细'!$T16)</x:f>
        <x:v>缺料</x:v>
      </x:c>
      <x:c r="N37" s="15" t="str">
        <x:f>IF('简版明细'!$T16="正常","",'简版明细'!$U16)</x:f>
        <x:v>采购确认到料/替代料</x:v>
      </x:c>
      <x:c r="O37" s="15" t="str">
        <x:f>IF('简版明细'!$T16="正常","",'简版明细'!$S16)</x:f>
        <x:v>仓库/裁剪</x:v>
      </x:c>
    </x:row>
    <x:row r="38">
      <x:c r="G38" s="15" t="str">
        <x:f>IF('简版明细'!$T17="正常","",'简版明细'!$A17)</x:f>
        <x:v>SO260319-1607</x:v>
      </x:c>
      <x:c r="H38" s="15" t="str">
        <x:f>IF('简版明细'!$T17="正常","",'简版明细'!$B17)</x:f>
        <x:v>6-0086-1-53-201</x:v>
      </x:c>
      <x:c r="I38" s="15" t="str">
        <x:f>IF('简版明细'!$T17="正常","",'简版明细'!$C17)</x:f>
        <x:v>圆领套头衫</x:v>
      </x:c>
      <x:c r="J38" s="15" t="str">
        <x:f>IF('简版明细'!$T17="正常","",'简版明细'!$F17)</x:f>
        <x:v>F00921</x:v>
      </x:c>
      <x:c r="K38" s="15" t="str">
        <x:f>IF('简版明细'!$T17="正常","",'简版明细'!$Q17)</x:f>
        <x:v>裁剪</x:v>
      </x:c>
      <x:c r="L38" s="32" t="str">
        <x:f>IF('简版明细'!$T17="正常","",'简版明细'!$R17)</x:f>
        <x:v>2026-01-09</x:v>
      </x:c>
      <x:c r="M38" s="15" t="str">
        <x:f>IF('简版明细'!$T17="正常","",'简版明细'!$T17)</x:f>
        <x:v>缺料</x:v>
      </x:c>
      <x:c r="N38" s="15" t="str">
        <x:f>IF('简版明细'!$T17="正常","",'简版明细'!$U17)</x:f>
        <x:v>采购确认到料/替代料</x:v>
      </x:c>
      <x:c r="O38" s="15" t="str">
        <x:f>IF('简版明细'!$T17="正常","",'简版明细'!$S17)</x:f>
        <x:v>仓库/裁剪</x:v>
      </x:c>
    </x:row>
    <x:row r="39">
      <x:c r="G39" s="15" t="str">
        <x:f>IF('简版明细'!$T18="正常","",'简版明细'!$A18)</x:f>
        <x:v>SO260319-1607</x:v>
      </x:c>
      <x:c r="H39" s="15" t="str">
        <x:f>IF('简版明细'!$T18="正常","",'简版明细'!$B18)</x:f>
        <x:v>6-0086-1-53-201</x:v>
      </x:c>
      <x:c r="I39" s="15" t="str">
        <x:f>IF('简版明细'!$T18="正常","",'简版明细'!$C18)</x:f>
        <x:v>圆领套头衫</x:v>
      </x:c>
      <x:c r="J39" s="15" t="str">
        <x:f>IF('简版明细'!$T18="正常","",'简版明细'!$F18)</x:f>
        <x:v>索罗娜罗纹</x:v>
      </x:c>
      <x:c r="K39" s="15" t="str">
        <x:f>IF('简版明细'!$T18="正常","",'简版明细'!$Q18)</x:f>
        <x:v>裁剪</x:v>
      </x:c>
      <x:c r="L39" s="32" t="str">
        <x:f>IF('简版明细'!$T18="正常","",'简版明细'!$R18)</x:f>
        <x:v>2026-01-09</x:v>
      </x:c>
      <x:c r="M39" s="15" t="str">
        <x:f>IF('简版明细'!$T18="正常","",'简版明细'!$T18)</x:f>
        <x:v>缺料</x:v>
      </x:c>
      <x:c r="N39" s="15" t="str">
        <x:f>IF('简版明细'!$T18="正常","",'简版明细'!$U18)</x:f>
        <x:v>采购确认到料/替代料</x:v>
      </x:c>
      <x:c r="O39" s="15" t="str">
        <x:f>IF('简版明细'!$T18="正常","",'简版明细'!$S18)</x:f>
        <x:v>仓库/裁剪</x:v>
      </x:c>
    </x:row>
    <x:row r="40">
      <x:c r="G40" s="15" t="str">
        <x:f>IF('简版明细'!$T19="正常","",'简版明细'!$A19)</x:f>
        <x:v>SO260318-1578</x:v>
      </x:c>
      <x:c r="H40" s="15" t="str">
        <x:f>IF('简版明细'!$T19="正常","",'简版明细'!$B19)</x:f>
        <x:v>11-24-3533-803</x:v>
      </x:c>
      <x:c r="I40" s="15" t="str">
        <x:f>IF('简版明细'!$T19="正常","",'简版明细'!$C19)</x:f>
        <x:v>男士长裤</x:v>
      </x:c>
      <x:c r="J40" s="15" t="str">
        <x:f>IF('简版明细'!$T19="正常","",'简版明细'!$F19)</x:f>
        <x:v>客供毛圈</x:v>
      </x:c>
      <x:c r="K40" s="15" t="str">
        <x:f>IF('简版明细'!$T19="正常","",'简版明细'!$Q19)</x:f>
        <x:v>横机</x:v>
      </x:c>
      <x:c r="L40" s="32" t="str">
        <x:f>IF('简版明细'!$T19="正常","",'简版明细'!$R19)</x:f>
        <x:v>2026-01-23</x:v>
      </x:c>
      <x:c r="M40" s="15" t="str">
        <x:f>IF('简版明细'!$T19="正常","",'简版明细'!$T19)</x:f>
        <x:v>缺料</x:v>
      </x:c>
      <x:c r="N40" s="15" t="str">
        <x:f>IF('简版明细'!$T19="正常","",'简版明细'!$U19)</x:f>
        <x:v>采购确认到料/替代料</x:v>
      </x:c>
      <x:c r="O40" s="15" t="str">
        <x:f>IF('简版明细'!$T19="正常","",'简版明细'!$S19)</x:f>
        <x:v>生产/横机</x:v>
      </x:c>
    </x:row>
    <x:row r="41">
      <x:c r="G41" s="15" t="str">
        <x:f>IF('简版明细'!$T20="正常","",'简版明细'!$A20)</x:f>
        <x:v>SO260318-1578</x:v>
      </x:c>
      <x:c r="H41" s="15" t="str">
        <x:f>IF('简版明细'!$T20="正常","",'简版明细'!$B20)</x:f>
        <x:v>11-24-3533-803</x:v>
      </x:c>
      <x:c r="I41" s="15" t="str">
        <x:f>IF('简版明细'!$T20="正常","",'简版明细'!$C20)</x:f>
        <x:v>男士长裤</x:v>
      </x:c>
      <x:c r="J41" s="15" t="str">
        <x:f>IF('简版明细'!$T20="正常","",'简版明细'!$F20)</x:f>
        <x:v>网眼袋布</x:v>
      </x:c>
      <x:c r="K41" s="15" t="str">
        <x:f>IF('简版明细'!$T20="正常","",'简版明细'!$Q20)</x:f>
        <x:v>裁剪</x:v>
      </x:c>
      <x:c r="L41" s="32" t="str">
        <x:f>IF('简版明细'!$T20="正常","",'简版明细'!$R20)</x:f>
        <x:v>2026-01-23</x:v>
      </x:c>
      <x:c r="M41" s="15" t="str">
        <x:f>IF('简版明细'!$T20="正常","",'简版明细'!$T20)</x:f>
        <x:v>缺料</x:v>
      </x:c>
      <x:c r="N41" s="15" t="str">
        <x:f>IF('简版明细'!$T20="正常","",'简版明细'!$U20)</x:f>
        <x:v>采购确认到料/替代料</x:v>
      </x:c>
      <x:c r="O41" s="15" t="str">
        <x:f>IF('简版明细'!$T20="正常","",'简版明细'!$S20)</x:f>
        <x:v>仓库/裁剪</x:v>
      </x:c>
    </x:row>
    <x:row r="42">
      <x:c r="G42" s="15" t="str">
        <x:f>IF('简版明细'!$T21="正常","",'简版明细'!$A21)</x:f>
        <x:v>SO260318-1578</x:v>
      </x:c>
      <x:c r="H42" s="15" t="str">
        <x:f>IF('简版明细'!$T21="正常","",'简版明细'!$B21)</x:f>
        <x:v>11-24-3533-803</x:v>
      </x:c>
      <x:c r="I42" s="15" t="str">
        <x:f>IF('简版明细'!$T21="正常","",'简版明细'!$C21)</x:f>
        <x:v>男士长裤</x:v>
      </x:c>
      <x:c r="J42" s="15" t="str">
        <x:f>IF('简版明细'!$T21="正常","",'简版明细'!$F21)</x:f>
        <x:v>客供毛圈</x:v>
      </x:c>
      <x:c r="K42" s="15" t="str">
        <x:f>IF('简版明细'!$T21="正常","",'简版明细'!$Q21)</x:f>
        <x:v>横机</x:v>
      </x:c>
      <x:c r="L42" s="32" t="str">
        <x:f>IF('简版明细'!$T21="正常","",'简版明细'!$R21)</x:f>
        <x:v>2026-01-23</x:v>
      </x:c>
      <x:c r="M42" s="15" t="str">
        <x:f>IF('简版明细'!$T21="正常","",'简版明细'!$T21)</x:f>
        <x:v>缺料</x:v>
      </x:c>
      <x:c r="N42" s="15" t="str">
        <x:f>IF('简版明细'!$T21="正常","",'简版明细'!$U21)</x:f>
        <x:v>采购确认到料/替代料</x:v>
      </x:c>
      <x:c r="O42" s="15" t="str">
        <x:f>IF('简版明细'!$T21="正常","",'简版明细'!$S21)</x:f>
        <x:v>生产/横机</x:v>
      </x:c>
    </x:row>
    <x:row r="43">
      <x:c r="G43" s="15" t="str">
        <x:f>IF('简版明细'!$T22="正常","",'简版明细'!$A22)</x:f>
        <x:v>SO251119-995</x:v>
      </x:c>
      <x:c r="H43" s="15" t="str">
        <x:f>IF('简版明细'!$T22="正常","",'简版明细'!$B22)</x:f>
        <x:v>26-080-312-5000-1-0</x:v>
      </x:c>
      <x:c r="I43" s="15" t="str">
        <x:f>IF('简版明细'!$T22="正常","",'简版明细'!$C22)</x:f>
        <x:v>男士毛衣POLO衫</x:v>
      </x:c>
      <x:c r="J43" s="15" t="str">
        <x:f>IF('简版明细'!$T22="正常","",'简版明细'!$F22)</x:f>
        <x:v>150D中弹丝</x:v>
      </x:c>
      <x:c r="K43" s="15" t="str">
        <x:f>IF('简版明细'!$T22="正常","",'简版明细'!$Q22)</x:f>
        <x:v>横机</x:v>
      </x:c>
      <x:c r="L43" s="32" t="str">
        <x:f>IF('简版明细'!$T22="正常","",'简版明细'!$R22)</x:f>
        <x:v>2026-01-09</x:v>
      </x:c>
      <x:c r="M43" s="15" t="str">
        <x:f>IF('简版明细'!$T22="正常","",'简版明细'!$T22)</x:f>
        <x:v>质检异常</x:v>
      </x:c>
      <x:c r="N43" s="15" t="str">
        <x:f>IF('简版明细'!$T22="正常","",'简版明细'!$U22)</x:f>
        <x:v>质检判定/退换货</x:v>
      </x:c>
      <x:c r="O43" s="15" t="str">
        <x:f>IF('简版明细'!$T22="正常","",'简版明细'!$S22)</x:f>
        <x:v>生产/横机</x:v>
      </x:c>
    </x:row>
    <x:row r="44">
      <x:c r="G44" s="15" t="str">
        <x:f>IF('简版明细'!$T23="正常","",'简版明细'!$A23)</x:f>
        <x:v>SO251119-995</x:v>
      </x:c>
      <x:c r="H44" s="15" t="str">
        <x:f>IF('简版明细'!$T23="正常","",'简版明细'!$B23)</x:f>
        <x:v>26-080-312-5000-1-0</x:v>
      </x:c>
      <x:c r="I44" s="15" t="str">
        <x:f>IF('简版明细'!$T23="正常","",'简版明细'!$C23)</x:f>
        <x:v>男士毛衣POLO衫</x:v>
      </x:c>
      <x:c r="J44" s="15" t="str">
        <x:f>IF('简版明细'!$T23="正常","",'简版明细'!$F23)</x:f>
        <x:v>雪尼尔</x:v>
      </x:c>
      <x:c r="K44" s="15" t="str">
        <x:f>IF('简版明细'!$T23="正常","",'简版明细'!$Q23)</x:f>
        <x:v>横机</x:v>
      </x:c>
      <x:c r="L44" s="32" t="str">
        <x:f>IF('简版明细'!$T23="正常","",'简版明细'!$R23)</x:f>
        <x:v>2026-01-09</x:v>
      </x:c>
      <x:c r="M44" s="15" t="str">
        <x:f>IF('简版明细'!$T23="正常","",'简版明细'!$T23)</x:f>
        <x:v>缺料</x:v>
      </x:c>
      <x:c r="N44" s="15" t="str">
        <x:f>IF('简版明细'!$T23="正常","",'简版明细'!$U23)</x:f>
        <x:v>采购确认到料/替代料</x:v>
      </x:c>
      <x:c r="O44" s="15" t="str">
        <x:f>IF('简版明细'!$T23="正常","",'简版明细'!$S23)</x:f>
        <x:v>生产/横机</x:v>
      </x:c>
    </x:row>
    <x:row r="45">
      <x:c r="G45" s="15" t="str">
        <x:f>IF('简版明细'!$T24="正常","",'简版明细'!$A24)</x:f>
        <x:v>SO251119-995</x:v>
      </x:c>
      <x:c r="H45" s="15" t="str">
        <x:f>IF('简版明细'!$T24="正常","",'简版明细'!$B24)</x:f>
        <x:v>26-080-312-5000-1-0</x:v>
      </x:c>
      <x:c r="I45" s="15" t="str">
        <x:f>IF('简版明细'!$T24="正常","",'简版明细'!$C24)</x:f>
        <x:v>男士毛衣POLO衫</x:v>
      </x:c>
      <x:c r="J45" s="15" t="str">
        <x:f>IF('简版明细'!$T24="正常","",'简版明细'!$F24)</x:f>
        <x:v>氨纶丝</x:v>
      </x:c>
      <x:c r="K45" s="15" t="str">
        <x:f>IF('简版明细'!$T24="正常","",'简版明细'!$Q24)</x:f>
        <x:v>横机</x:v>
      </x:c>
      <x:c r="L45" s="32" t="str">
        <x:f>IF('简版明细'!$T24="正常","",'简版明细'!$R24)</x:f>
        <x:v>2026-01-09</x:v>
      </x:c>
      <x:c r="M45" s="15" t="str">
        <x:f>IF('简版明细'!$T24="正常","",'简版明细'!$T24)</x:f>
        <x:v>缺料</x:v>
      </x:c>
      <x:c r="N45" s="15" t="str">
        <x:f>IF('简版明细'!$T24="正常","",'简版明细'!$U24)</x:f>
        <x:v>采购确认到料/替代料</x:v>
      </x:c>
      <x:c r="O45" s="15" t="str">
        <x:f>IF('简版明细'!$T24="正常","",'简版明细'!$S24)</x:f>
        <x:v>生产/横机</x:v>
      </x:c>
    </x:row>
  </x:sheetData>
  <x:mergeCells>
    <x:mergeCell ref="A1:O1"/>
    <x:mergeCell ref="A3:O3"/>
    <x:mergeCell ref="A8:E8"/>
    <x:mergeCell ref="G8:K8"/>
    <x:mergeCell ref="A16:E16"/>
    <x:mergeCell ref="G16:K16"/>
    <x:mergeCell ref="A24:E24"/>
    <x:mergeCell ref="G24:O24"/>
    <x:mergeCell ref="M5:O5"/>
  </x:mergeCells>
  <x:conditionalFormatting sqref="M26:M45">
    <x:cfRule type="containsText" dxfId="5" priority="1" operator="containsText" text="缺料"/>
    <x:cfRule type="containsText" dxfId="6" priority="2" operator="containsText" text="质检异常"/>
    <x:cfRule type="containsText" dxfId="7" priority="3" operator="containsText" text="船期风险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21.25" hidden="0" customWidth="1"/>
    <x:col min="4" max="4" width="11.25" hidden="0" customWidth="1"/>
    <x:col min="5" max="5" width="10" hidden="0" customWidth="1"/>
    <x:col min="6" max="6" width="26.25" hidden="0" customWidth="1"/>
    <x:col min="7" max="7" width="8.75" hidden="0" customWidth="1"/>
    <x:col min="8" max="8" width="10" hidden="0" customWidth="1"/>
    <x:col min="9" max="9" width="8.75" hidden="0" customWidth="1"/>
    <x:col min="10" max="10" width="8.7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1.25" hidden="0" customWidth="1"/>
    <x:col min="17" max="17" width="11.25" hidden="0" customWidth="1"/>
    <x:col min="18" max="18" width="11.880000114440918" hidden="0" customWidth="1"/>
    <x:col min="19" max="19" width="13.75" hidden="0" customWidth="1"/>
    <x:col min="20" max="20" width="12.5" hidden="0" customWidth="1"/>
    <x:col min="21" max="21" width="21.25" hidden="0" customWidth="1"/>
  </x:cols>
  <x:sheetData>
    <x:row r="1" ht="27" customHeight="1">
      <x:c r="A1" s="4" t="str">
        <x:v>简版明细 - 一行看懂一个订单物料</x:v>
      </x:c>
      <x:c r="B1" s="4" t="str">
        <x:v>简版明细 - 一行看懂一个订单物料</x:v>
      </x:c>
      <x:c r="C1" s="4" t="str">
        <x:v>简版明细 - 一行看懂一个订单物料</x:v>
      </x:c>
      <x:c r="D1" s="4" t="str">
        <x:v>简版明细 - 一行看懂一个订单物料</x:v>
      </x:c>
      <x:c r="E1" s="4" t="str">
        <x:v>简版明细 - 一行看懂一个订单物料</x:v>
      </x:c>
      <x:c r="F1" s="4" t="str">
        <x:v>简版明细 - 一行看懂一个订单物料</x:v>
      </x:c>
      <x:c r="G1" s="4" t="str">
        <x:v>简版明细 - 一行看懂一个订单物料</x:v>
      </x:c>
      <x:c r="H1" s="4" t="str">
        <x:v>简版明细 - 一行看懂一个订单物料</x:v>
      </x:c>
      <x:c r="I1" s="4" t="str">
        <x:v>简版明细 - 一行看懂一个订单物料</x:v>
      </x:c>
      <x:c r="J1" s="4" t="str">
        <x:v>简版明细 - 一行看懂一个订单物料</x:v>
      </x:c>
      <x:c r="K1" s="4" t="str">
        <x:v>简版明细 - 一行看懂一个订单物料</x:v>
      </x:c>
      <x:c r="L1" s="4" t="str">
        <x:v>简版明细 - 一行看懂一个订单物料</x:v>
      </x:c>
      <x:c r="M1" s="4" t="str">
        <x:v>简版明细 - 一行看懂一个订单物料</x:v>
      </x:c>
      <x:c r="N1" s="4" t="str">
        <x:v>简版明细 - 一行看懂一个订单物料</x:v>
      </x:c>
      <x:c r="O1" s="4" t="str">
        <x:v>简版明细 - 一行看懂一个订单物料</x:v>
      </x:c>
      <x:c r="P1" s="4" t="str">
        <x:v>简版明细 - 一行看懂一个订单物料</x:v>
      </x:c>
      <x:c r="Q1" s="4" t="str">
        <x:v>简版明细 - 一行看懂一个订单物料</x:v>
      </x:c>
      <x:c r="R1" s="4" t="str">
        <x:v>简版明细 - 一行看懂一个订单物料</x:v>
      </x:c>
      <x:c r="S1" s="4" t="str">
        <x:v>简版明细 - 一行看懂一个订单物料</x:v>
      </x:c>
      <x:c r="T1" s="4" t="str">
        <x:v>简版明细 - 一行看懂一个订单物料</x:v>
      </x:c>
      <x:c r="U1" s="4" t="str">
        <x:v>简版明细 - 一行看懂一个订单物料</x:v>
      </x:c>
    </x:row>
    <x:row r="3">
      <x:c r="A3" s="8" t="str">
        <x:v>只保留各部门共同需要的字段：订单、物料、数量、状态、预警、下一步</x:v>
      </x:c>
      <x:c r="B3" s="8" t="str">
        <x:v>只保留各部门共同需要的字段：订单、物料、数量、状态、预警、下一步</x:v>
      </x:c>
      <x:c r="C3" s="8" t="str">
        <x:v>只保留各部门共同需要的字段：订单、物料、数量、状态、预警、下一步</x:v>
      </x:c>
      <x:c r="D3" s="8" t="str">
        <x:v>只保留各部门共同需要的字段：订单、物料、数量、状态、预警、下一步</x:v>
      </x:c>
      <x:c r="E3" s="8" t="str">
        <x:v>只保留各部门共同需要的字段：订单、物料、数量、状态、预警、下一步</x:v>
      </x:c>
      <x:c r="F3" s="8" t="str">
        <x:v>只保留各部门共同需要的字段：订单、物料、数量、状态、预警、下一步</x:v>
      </x:c>
      <x:c r="G3" s="8" t="str">
        <x:v>只保留各部门共同需要的字段：订单、物料、数量、状态、预警、下一步</x:v>
      </x:c>
      <x:c r="H3" s="8" t="str">
        <x:v>只保留各部门共同需要的字段：订单、物料、数量、状态、预警、下一步</x:v>
      </x:c>
      <x:c r="I3" s="8" t="str">
        <x:v>只保留各部门共同需要的字段：订单、物料、数量、状态、预警、下一步</x:v>
      </x:c>
      <x:c r="J3" s="8" t="str">
        <x:v>只保留各部门共同需要的字段：订单、物料、数量、状态、预警、下一步</x:v>
      </x:c>
      <x:c r="K3" s="8" t="str">
        <x:v>只保留各部门共同需要的字段：订单、物料、数量、状态、预警、下一步</x:v>
      </x:c>
      <x:c r="L3" s="8" t="str">
        <x:v>只保留各部门共同需要的字段：订单、物料、数量、状态、预警、下一步</x:v>
      </x:c>
      <x:c r="M3" s="8" t="str">
        <x:v>只保留各部门共同需要的字段：订单、物料、数量、状态、预警、下一步</x:v>
      </x:c>
      <x:c r="N3" s="8" t="str">
        <x:v>只保留各部门共同需要的字段：订单、物料、数量、状态、预警、下一步</x:v>
      </x:c>
      <x:c r="O3" s="8" t="str">
        <x:v>只保留各部门共同需要的字段：订单、物料、数量、状态、预警、下一步</x:v>
      </x:c>
      <x:c r="P3" s="8" t="str">
        <x:v>只保留各部门共同需要的字段：订单、物料、数量、状态、预警、下一步</x:v>
      </x:c>
      <x:c r="Q3" s="8" t="str">
        <x:v>只保留各部门共同需要的字段：订单、物料、数量、状态、预警、下一步</x:v>
      </x:c>
      <x:c r="R3" s="8" t="str">
        <x:v>只保留各部门共同需要的字段：订单、物料、数量、状态、预警、下一步</x:v>
      </x:c>
      <x:c r="S3" s="8" t="str">
        <x:v>只保留各部门共同需要的字段：订单、物料、数量、状态、预警、下一步</x:v>
      </x:c>
      <x:c r="T3" s="8" t="str">
        <x:v>只保留各部门共同需要的字段：订单、物料、数量、状态、预警、下一步</x:v>
      </x:c>
      <x:c r="U3" s="8" t="str">
        <x:v>只保留各部门共同需要的字段：订单、物料、数量、状态、预警、下一步</x:v>
      </x:c>
    </x:row>
    <x:row r="4">
      <x:c r="A4" s="14" t="str">
        <x:v>合同/销售单号</x:v>
      </x:c>
      <x:c r="B4" s="14" t="str">
        <x:v>品番</x:v>
      </x:c>
      <x:c r="C4" s="14" t="str">
        <x:v>款式</x:v>
      </x:c>
      <x:c r="D4" s="14" t="str">
        <x:v>客户</x:v>
      </x:c>
      <x:c r="E4" s="14" t="str">
        <x:v>物料类型</x:v>
      </x:c>
      <x:c r="F4" s="14" t="str">
        <x:v>物料名称</x:v>
      </x:c>
      <x:c r="G4" s="14" t="str">
        <x:v>单位</x:v>
      </x:c>
      <x:c r="H4" s="14" t="str">
        <x:v>订单数</x:v>
      </x:c>
      <x:c r="I4" s="14" t="str">
        <x:v>单耗</x:v>
      </x:c>
      <x:c r="J4" s="14" t="str">
        <x:v>损耗率</x:v>
      </x:c>
      <x:c r="K4" s="14" t="str">
        <x:v>计划用量</x:v>
      </x:c>
      <x:c r="L4" s="14" t="str">
        <x:v>已入库</x:v>
      </x:c>
      <x:c r="M4" s="14" t="str">
        <x:v>已出库</x:v>
      </x:c>
      <x:c r="N4" s="14" t="str">
        <x:v>可用库存</x:v>
      </x:c>
      <x:c r="O4" s="14" t="str">
        <x:v>采购状态</x:v>
      </x:c>
      <x:c r="P4" s="14" t="str">
        <x:v>质检状态</x:v>
      </x:c>
      <x:c r="Q4" s="14" t="str">
        <x:v>生产工序</x:v>
      </x:c>
      <x:c r="R4" s="14" t="str">
        <x:v>船期</x:v>
      </x:c>
      <x:c r="S4" s="14" t="str">
        <x:v>责任部门</x:v>
      </x:c>
      <x:c r="T4" s="14" t="str">
        <x:v>预警</x:v>
      </x:c>
      <x:c r="U4" s="14" t="str">
        <x:v>下一步</x:v>
      </x:c>
    </x:row>
    <x:row r="5">
      <x:c r="A5" s="17" t="str">
        <x:v>历史订单</x:v>
      </x:c>
      <x:c r="B5" s="17" t="str">
        <x:v>暂无</x:v>
      </x:c>
      <x:c r="C5" s="17" t="str">
        <x:v>女士V领针织</x:v>
      </x:c>
      <x:c r="D5" s="17" t="str">
        <x:v>秦</x:v>
      </x:c>
      <x:c r="E5" s="17" t="str">
        <x:v>面料</x:v>
      </x:c>
      <x:c r="F5" s="17" t="str">
        <x:v>市场面料格子</x:v>
      </x:c>
      <x:c r="G5" s="17" t="str">
        <x:v>KG</x:v>
      </x:c>
      <x:c r="H5" s="18" t="n">
        <x:v>695</x:v>
      </x:c>
      <x:c r="I5" s="18" t="str"/>
      <x:c r="J5" s="19" t="n">
        <x:v>0.05</x:v>
      </x:c>
      <x:c r="K5" s="18" t="str">
        <x:f>IF(OR(H5="",I5=""),"",H5*I5*(1+J5))</x:f>
      </x:c>
      <x:c r="L5" s="18" t="str"/>
      <x:c r="M5" s="18" t="str"/>
      <x:c r="N5" s="18" t="str">
        <x:f>IF(L5="","",L5-M5)</x:f>
      </x:c>
      <x:c r="O5" s="17" t="str">
        <x:v>已到齐</x:v>
      </x:c>
      <x:c r="P5" s="17" t="str">
        <x:v>待检</x:v>
      </x:c>
      <x:c r="Q5" s="17" t="str">
        <x:v>裁剪</x:v>
      </x:c>
      <x:c r="R5" s="20" t="str">
        <x:v>2022-05-30</x:v>
      </x:c>
      <x:c r="S5" s="17" t="str">
        <x:v>仓库/裁剪</x:v>
      </x:c>
      <x:c r="T5" s="17" t="str">
        <x:f>IF(P5="不合格","质检异常",IF(N5&lt;0,"负库存",IF(N5&lt;K5,"缺料",IF(AND(R5&lt;&gt;"",R5&lt;=DATE(2026,7,16),O5&lt;&gt;"已到齐"),"船期风险","正常"))))</x:f>
        <x:v>正常</x:v>
      </x:c>
      <x:c r="U5" s="17" t="str">
        <x:f>IF(T5="缺料","采购确认到料/替代料",IF(T5="质检异常","质检判定/退换货",IF(T5="负库存","仓库复盘库存",IF(T5="船期风险","生产排产复核","按计划执行"))))</x:f>
        <x:v>按计划执行</x:v>
      </x:c>
    </x:row>
    <x:row r="6">
      <x:c r="A6" s="17" t="str">
        <x:v>SO250714-252</x:v>
      </x:c>
      <x:c r="B6" s="17" t="str">
        <x:v>66SPSM611</x:v>
      </x:c>
      <x:c r="C6" s="17" t="str">
        <x:v>男士毛衣开衫</x:v>
      </x:c>
      <x:c r="D6" s="17" t="str">
        <x:v>片山</x:v>
      </x:c>
      <x:c r="E6" s="17" t="str">
        <x:v>纱线</x:v>
      </x:c>
      <x:c r="F6" s="17" t="str">
        <x:v>150D全涤线</x:v>
      </x:c>
      <x:c r="G6" s="17" t="str">
        <x:v>KG</x:v>
      </x:c>
      <x:c r="H6" s="18" t="n">
        <x:v>2700</x:v>
      </x:c>
      <x:c r="I6" s="18" t="n">
        <x:v>0.33</x:v>
      </x:c>
      <x:c r="J6" s="19" t="n">
        <x:v>0.03</x:v>
      </x:c>
      <x:c r="K6" s="18" t="n">
        <x:f>IF(OR(H6="",I6=""),"",H6*I6*(1+J6))</x:f>
        <x:v>917.73</x:v>
      </x:c>
      <x:c r="L6" s="18" t="n">
        <x:v>917.73</x:v>
      </x:c>
      <x:c r="M6" s="18" t="n">
        <x:v>137.66</x:v>
      </x:c>
      <x:c r="N6" s="18" t="n">
        <x:f>IF(L6="","",L6-M6)</x:f>
        <x:v>780.07</x:v>
      </x:c>
      <x:c r="O6" s="17" t="str">
        <x:v>已到齐</x:v>
      </x:c>
      <x:c r="P6" s="17" t="str">
        <x:v>合格</x:v>
      </x:c>
      <x:c r="Q6" s="17" t="str">
        <x:v>横机</x:v>
      </x:c>
      <x:c r="R6" s="20" t="str">
        <x:v>2026-01-23</x:v>
      </x:c>
      <x:c r="S6" s="17" t="str">
        <x:v>生产/横机</x:v>
      </x:c>
      <x:c r="T6" s="17" t="str">
        <x:f>IF(P6="不合格","质检异常",IF(N6&lt;0,"负库存",IF(N6&lt;K6,"缺料",IF(AND(R6&lt;&gt;"",R6&lt;=DATE(2026,7,16),O6&lt;&gt;"已到齐"),"船期风险","正常"))))</x:f>
        <x:v>缺料</x:v>
      </x:c>
      <x:c r="U6" s="17" t="str">
        <x:f>IF(T6="缺料","采购确认到料/替代料",IF(T6="质检异常","质检判定/退换货",IF(T6="负库存","仓库复盘库存",IF(T6="船期风险","生产排产复核","按计划执行"))))</x:f>
        <x:v>采购确认到料/替代料</x:v>
      </x:c>
    </x:row>
    <x:row r="7">
      <x:c r="A7" s="17" t="str">
        <x:v>SO251020-722</x:v>
      </x:c>
      <x:c r="B7" s="17" t="str">
        <x:v>42-14-0299-639</x:v>
      </x:c>
      <x:c r="C7" s="17" t="str">
        <x:v>男士针织T恤衫</x:v>
      </x:c>
      <x:c r="D7" s="17" t="str">
        <x:v>玉田</x:v>
      </x:c>
      <x:c r="E7" s="17" t="str">
        <x:v>面料</x:v>
      </x:c>
      <x:c r="F7" s="17" t="str">
        <x:v>面料F01752</x:v>
      </x:c>
      <x:c r="G7" s="17" t="str">
        <x:v>M</x:v>
      </x:c>
      <x:c r="H7" s="18" t="n">
        <x:v>2400</x:v>
      </x:c>
      <x:c r="I7" s="18" t="n">
        <x:v>0.9</x:v>
      </x:c>
      <x:c r="J7" s="19" t="n">
        <x:v>0.05</x:v>
      </x:c>
      <x:c r="K7" s="18" t="n">
        <x:f>IF(OR(H7="",I7=""),"",H7*I7*(1+J7))</x:f>
        <x:v>2268</x:v>
      </x:c>
      <x:c r="L7" s="18" t="n">
        <x:v>2268</x:v>
      </x:c>
      <x:c r="M7" s="18" t="n">
        <x:v>340.2</x:v>
      </x:c>
      <x:c r="N7" s="18" t="n">
        <x:f>IF(L7="","",L7-M7)</x:f>
        <x:v>1927.8</x:v>
      </x:c>
      <x:c r="O7" s="17" t="str">
        <x:v>已到齐</x:v>
      </x:c>
      <x:c r="P7" s="17" t="str">
        <x:v>合格</x:v>
      </x:c>
      <x:c r="Q7" s="17" t="str">
        <x:v>裁剪</x:v>
      </x:c>
      <x:c r="R7" s="20" t="str">
        <x:v>2026-01-02</x:v>
      </x:c>
      <x:c r="S7" s="17" t="str">
        <x:v>仓库/裁剪</x:v>
      </x:c>
      <x:c r="T7" s="17" t="str">
        <x:f>IF(P7="不合格","质检异常",IF(N7&lt;0,"负库存",IF(N7&lt;K7,"缺料",IF(AND(R7&lt;&gt;"",R7&lt;=DATE(2026,7,16),O7&lt;&gt;"已到齐"),"船期风险","正常"))))</x:f>
        <x:v>缺料</x:v>
      </x:c>
      <x:c r="U7" s="17" t="str">
        <x:f>IF(T7="缺料","采购确认到料/替代料",IF(T7="质检异常","质检判定/退换货",IF(T7="负库存","仓库复盘库存",IF(T7="船期风险","生产排产复核","按计划执行"))))</x:f>
        <x:v>采购确认到料/替代料</x:v>
      </x:c>
    </x:row>
    <x:row r="8">
      <x:c r="A8" s="17" t="str">
        <x:v>SO251020-722</x:v>
      </x:c>
      <x:c r="B8" s="17" t="str">
        <x:v>42-14-0299-639</x:v>
      </x:c>
      <x:c r="C8" s="17" t="str">
        <x:v>男士针织T恤衫</x:v>
      </x:c>
      <x:c r="D8" s="17" t="str">
        <x:v>玉田</x:v>
      </x:c>
      <x:c r="E8" s="17" t="str">
        <x:v>面料</x:v>
      </x:c>
      <x:c r="F8" s="17" t="str">
        <x:v>面料F05140</x:v>
      </x:c>
      <x:c r="G8" s="17" t="str">
        <x:v>M</x:v>
      </x:c>
      <x:c r="H8" s="18" t="n">
        <x:v>2400</x:v>
      </x:c>
      <x:c r="I8" s="18" t="n">
        <x:v>0.02</x:v>
      </x:c>
      <x:c r="J8" s="19" t="n">
        <x:v>0.05</x:v>
      </x:c>
      <x:c r="K8" s="18" t="n">
        <x:f>IF(OR(H8="",I8=""),"",H8*I8*(1+J8))</x:f>
        <x:v>50.400000000000006</x:v>
      </x:c>
      <x:c r="L8" s="18" t="n">
        <x:v>50.4</x:v>
      </x:c>
      <x:c r="M8" s="18" t="n">
        <x:v>22.68</x:v>
      </x:c>
      <x:c r="N8" s="18" t="n">
        <x:f>IF(L8="","",L8-M8)</x:f>
        <x:v>27.72</x:v>
      </x:c>
      <x:c r="O8" s="17" t="str">
        <x:v>已到齐</x:v>
      </x:c>
      <x:c r="P8" s="17" t="str">
        <x:v>合格</x:v>
      </x:c>
      <x:c r="Q8" s="17" t="str">
        <x:v>裁剪</x:v>
      </x:c>
      <x:c r="R8" s="20" t="str">
        <x:v>2026-01-02</x:v>
      </x:c>
      <x:c r="S8" s="17" t="str">
        <x:v>仓库/裁剪</x:v>
      </x:c>
      <x:c r="T8" s="17" t="str">
        <x:f>IF(P8="不合格","质检异常",IF(N8&lt;0,"负库存",IF(N8&lt;K8,"缺料",IF(AND(R8&lt;&gt;"",R8&lt;=DATE(2026,7,16),O8&lt;&gt;"已到齐"),"船期风险","正常"))))</x:f>
        <x:v>缺料</x:v>
      </x:c>
      <x:c r="U8" s="17" t="str">
        <x:f>IF(T8="缺料","采购确认到料/替代料",IF(T8="质检异常","质检判定/退换货",IF(T8="负库存","仓库复盘库存",IF(T8="船期风险","生产排产复核","按计划执行"))))</x:f>
        <x:v>采购确认到料/替代料</x:v>
      </x:c>
    </x:row>
    <x:row r="9">
      <x:c r="A9" s="17" t="str">
        <x:v>SO260318-1579</x:v>
      </x:c>
      <x:c r="B9" s="17" t="str">
        <x:v>12-04-0209-802</x:v>
      </x:c>
      <x:c r="C9" s="17" t="str">
        <x:v>男士T恤</x:v>
      </x:c>
      <x:c r="D9" s="17" t="str">
        <x:v>尾方</x:v>
      </x:c>
      <x:c r="E9" s="17" t="str">
        <x:v>面料</x:v>
      </x:c>
      <x:c r="F9" s="17" t="str">
        <x:v>F04595 全涤华夫格</x:v>
      </x:c>
      <x:c r="G9" s="17" t="str">
        <x:v>M</x:v>
      </x:c>
      <x:c r="H9" s="18" t="n">
        <x:v>850</x:v>
      </x:c>
      <x:c r="I9" s="18" t="n">
        <x:v>1.55</x:v>
      </x:c>
      <x:c r="J9" s="19" t="n">
        <x:v>0.05</x:v>
      </x:c>
      <x:c r="K9" s="18" t="n">
        <x:f>IF(OR(H9="",I9=""),"",H9*I9*(1+J9))</x:f>
        <x:v>1383.375</x:v>
      </x:c>
      <x:c r="L9" s="18" t="n">
        <x:v>760.856</x:v>
      </x:c>
      <x:c r="M9" s="18" t="n">
        <x:v>114.128</x:v>
      </x:c>
      <x:c r="N9" s="18" t="n">
        <x:f>IF(L9="","",L9-M9)</x:f>
        <x:v>646.728</x:v>
      </x:c>
      <x:c r="O9" s="17" t="str">
        <x:v>部分到料</x:v>
      </x:c>
      <x:c r="P9" s="17" t="str">
        <x:v>合格</x:v>
      </x:c>
      <x:c r="Q9" s="17" t="str">
        <x:v>裁剪</x:v>
      </x:c>
      <x:c r="R9" s="20" t="str">
        <x:v>2026-01-23</x:v>
      </x:c>
      <x:c r="S9" s="17" t="str">
        <x:v>仓库/裁剪</x:v>
      </x:c>
      <x:c r="T9" s="17" t="str">
        <x:f>IF(P9="不合格","质检异常",IF(N9&lt;0,"负库存",IF(N9&lt;K9,"缺料",IF(AND(R9&lt;&gt;"",R9&lt;=DATE(2026,7,16),O9&lt;&gt;"已到齐"),"船期风险","正常"))))</x:f>
        <x:v>缺料</x:v>
      </x:c>
      <x:c r="U9" s="17" t="str">
        <x:f>IF(T9="缺料","采购确认到料/替代料",IF(T9="质检异常","质检判定/退换货",IF(T9="负库存","仓库复盘库存",IF(T9="船期风险","生产排产复核","按计划执行"))))</x:f>
        <x:v>采购确认到料/替代料</x:v>
      </x:c>
    </x:row>
    <x:row r="10">
      <x:c r="A10" s="17" t="str">
        <x:v>SO260318-1579</x:v>
      </x:c>
      <x:c r="B10" s="17" t="str">
        <x:v>12-04-0209-802</x:v>
      </x:c>
      <x:c r="C10" s="17" t="str">
        <x:v>男士T恤</x:v>
      </x:c>
      <x:c r="D10" s="17" t="str">
        <x:v>尾方</x:v>
      </x:c>
      <x:c r="E10" s="17" t="str">
        <x:v>面料</x:v>
      </x:c>
      <x:c r="F10" s="17" t="str">
        <x:v>F04858全涤螺纹</x:v>
      </x:c>
      <x:c r="G10" s="17" t="str">
        <x:v>M</x:v>
      </x:c>
      <x:c r="H10" s="18" t="n">
        <x:v>850</x:v>
      </x:c>
      <x:c r="I10" s="18" t="n">
        <x:v>0.04</x:v>
      </x:c>
      <x:c r="J10" s="19" t="n">
        <x:v>0.05</x:v>
      </x:c>
      <x:c r="K10" s="18" t="n">
        <x:f>IF(OR(H10="",I10=""),"",H10*I10*(1+J10))</x:f>
        <x:v>35.7</x:v>
      </x:c>
      <x:c r="L10" s="18" t="n">
        <x:v>8.925</x:v>
      </x:c>
      <x:c r="M10" s="18" t="n">
        <x:v>1.339</x:v>
      </x:c>
      <x:c r="N10" s="18" t="n">
        <x:f>IF(L10="","",L10-M10)</x:f>
        <x:v>7.586</x:v>
      </x:c>
      <x:c r="O10" s="17" t="str">
        <x:v>部分到料</x:v>
      </x:c>
      <x:c r="P10" s="17" t="str">
        <x:v>合格</x:v>
      </x:c>
      <x:c r="Q10" s="17" t="str">
        <x:v>裁剪</x:v>
      </x:c>
      <x:c r="R10" s="20" t="str">
        <x:v>2026-01-23</x:v>
      </x:c>
      <x:c r="S10" s="17" t="str">
        <x:v>仓库/裁剪</x:v>
      </x:c>
      <x:c r="T10" s="17" t="str">
        <x:f>IF(P10="不合格","质检异常",IF(N10&lt;0,"负库存",IF(N10&lt;K10,"缺料",IF(AND(R10&lt;&gt;"",R10&lt;=DATE(2026,7,16),O10&lt;&gt;"已到齐"),"船期风险","正常"))))</x:f>
        <x:v>缺料</x:v>
      </x:c>
      <x:c r="U10" s="17" t="str">
        <x:f>IF(T10="缺料","采购确认到料/替代料",IF(T10="质检异常","质检判定/退换货",IF(T10="负库存","仓库复盘库存",IF(T10="船期风险","生产排产复核","按计划执行"))))</x:f>
        <x:v>采购确认到料/替代料</x:v>
      </x:c>
    </x:row>
    <x:row r="11">
      <x:c r="A11" s="17" t="str">
        <x:v>SO260318-1581</x:v>
      </x:c>
      <x:c r="B11" s="17" t="str">
        <x:v>11-05-0145-803</x:v>
      </x:c>
      <x:c r="C11" s="17" t="str">
        <x:v>男士条纹毛衣</x:v>
      </x:c>
      <x:c r="D11" s="17" t="str">
        <x:v>尾方</x:v>
      </x:c>
      <x:c r="E11" s="17" t="str">
        <x:v>纱线</x:v>
      </x:c>
      <x:c r="F11" s="17" t="str">
        <x:v>150D涤丝</x:v>
      </x:c>
      <x:c r="G11" s="17" t="str">
        <x:v>KG</x:v>
      </x:c>
      <x:c r="H11" s="18" t="n">
        <x:v>1108</x:v>
      </x:c>
      <x:c r="I11" s="18" t="n">
        <x:v>0.14</x:v>
      </x:c>
      <x:c r="J11" s="19" t="n">
        <x:v>0.03</x:v>
      </x:c>
      <x:c r="K11" s="18" t="n">
        <x:f>IF(OR(H11="",I11=""),"",H11*I11*(1+J11))</x:f>
        <x:v>159.77360000000002</x:v>
      </x:c>
      <x:c r="L11" s="18" t="n">
        <x:v>159.774</x:v>
      </x:c>
      <x:c r="M11" s="18" t="n">
        <x:v>71.898</x:v>
      </x:c>
      <x:c r="N11" s="18" t="n">
        <x:f>IF(L11="","",L11-M11)</x:f>
        <x:v>87.876</x:v>
      </x:c>
      <x:c r="O11" s="17" t="str">
        <x:v>已到齐</x:v>
      </x:c>
      <x:c r="P11" s="17" t="str">
        <x:v>合格</x:v>
      </x:c>
      <x:c r="Q11" s="17" t="str">
        <x:v>横机</x:v>
      </x:c>
      <x:c r="R11" s="20" t="str">
        <x:v>2026-01-23</x:v>
      </x:c>
      <x:c r="S11" s="17" t="str">
        <x:v>生产/横机</x:v>
      </x:c>
      <x:c r="T11" s="17" t="str">
        <x:f>IF(P11="不合格","质检异常",IF(N11&lt;0,"负库存",IF(N11&lt;K11,"缺料",IF(AND(R11&lt;&gt;"",R11&lt;=DATE(2026,7,16),O11&lt;&gt;"已到齐"),"船期风险","正常"))))</x:f>
        <x:v>缺料</x:v>
      </x:c>
      <x:c r="U11" s="17" t="str">
        <x:f>IF(T11="缺料","采购确认到料/替代料",IF(T11="质检异常","质检判定/退换货",IF(T11="负库存","仓库复盘库存",IF(T11="船期风险","生产排产复核","按计划执行"))))</x:f>
        <x:v>采购确认到料/替代料</x:v>
      </x:c>
    </x:row>
    <x:row r="12">
      <x:c r="A12" s="17" t="str">
        <x:v>SO260318-1581</x:v>
      </x:c>
      <x:c r="B12" s="17" t="str">
        <x:v>11-05-0145-803</x:v>
      </x:c>
      <x:c r="C12" s="17" t="str">
        <x:v>男士条纹毛衣</x:v>
      </x:c>
      <x:c r="D12" s="17" t="str">
        <x:v>尾方</x:v>
      </x:c>
      <x:c r="E12" s="17" t="str">
        <x:v>纱线</x:v>
      </x:c>
      <x:c r="F12" s="17" t="str">
        <x:v>150D涤丝</x:v>
      </x:c>
      <x:c r="G12" s="17" t="str">
        <x:v>KG</x:v>
      </x:c>
      <x:c r="H12" s="18" t="n">
        <x:v>1108</x:v>
      </x:c>
      <x:c r="I12" s="18" t="n">
        <x:v>0.142</x:v>
      </x:c>
      <x:c r="J12" s="19" t="n">
        <x:v>0.03</x:v>
      </x:c>
      <x:c r="K12" s="18" t="n">
        <x:f>IF(OR(H12="",I12=""),"",H12*I12*(1+J12))</x:f>
        <x:v>162.05607999999998</x:v>
      </x:c>
      <x:c r="L12" s="18" t="n">
        <x:v>162.056</x:v>
      </x:c>
      <x:c r="M12" s="18" t="n">
        <x:v>24.308</x:v>
      </x:c>
      <x:c r="N12" s="18" t="n">
        <x:f>IF(L12="","",L12-M12)</x:f>
        <x:v>137.74800000000002</x:v>
      </x:c>
      <x:c r="O12" s="17" t="str">
        <x:v>已到齐</x:v>
      </x:c>
      <x:c r="P12" s="17" t="str">
        <x:v>合格</x:v>
      </x:c>
      <x:c r="Q12" s="17" t="str">
        <x:v>横机</x:v>
      </x:c>
      <x:c r="R12" s="20" t="str">
        <x:v>2026-01-23</x:v>
      </x:c>
      <x:c r="S12" s="17" t="str">
        <x:v>生产/横机</x:v>
      </x:c>
      <x:c r="T12" s="17" t="str">
        <x:f>IF(P12="不合格","质检异常",IF(N12&lt;0,"负库存",IF(N12&lt;K12,"缺料",IF(AND(R12&lt;&gt;"",R12&lt;=DATE(2026,7,16),O12&lt;&gt;"已到齐"),"船期风险","正常"))))</x:f>
        <x:v>缺料</x:v>
      </x:c>
      <x:c r="U12" s="17" t="str">
        <x:f>IF(T12="缺料","采购确认到料/替代料",IF(T12="质检异常","质检判定/退换货",IF(T12="负库存","仓库复盘库存",IF(T12="船期风险","生产排产复核","按计划执行"))))</x:f>
        <x:v>采购确认到料/替代料</x:v>
      </x:c>
    </x:row>
    <x:row r="13">
      <x:c r="A13" s="17" t="str">
        <x:v>SO260318-1590</x:v>
      </x:c>
      <x:c r="B13" s="17" t="str">
        <x:v>11-13-2266-803</x:v>
      </x:c>
      <x:c r="C13" s="17" t="str">
        <x:v>男士针织拉链开衫</x:v>
      </x:c>
      <x:c r="D13" s="17" t="str">
        <x:v>尾方</x:v>
      </x:c>
      <x:c r="E13" s="17" t="str">
        <x:v>面料</x:v>
      </x:c>
      <x:c r="F13" s="17" t="str">
        <x:v>F05721 精编空花</x:v>
      </x:c>
      <x:c r="G13" s="17" t="str">
        <x:v>M</x:v>
      </x:c>
      <x:c r="H13" s="18" t="n">
        <x:v>1628</x:v>
      </x:c>
      <x:c r="I13" s="18" t="n">
        <x:v>0.161</x:v>
      </x:c>
      <x:c r="J13" s="19" t="n">
        <x:v>0.05</x:v>
      </x:c>
      <x:c r="K13" s="18" t="n">
        <x:f>IF(OR(H13="",I13=""),"",H13*I13*(1+J13))</x:f>
        <x:v>275.21340000000004</x:v>
      </x:c>
      <x:c r="L13" s="18" t="n">
        <x:v>151.367</x:v>
      </x:c>
      <x:c r="M13" s="18" t="n">
        <x:v>22.705</x:v>
      </x:c>
      <x:c r="N13" s="18" t="n">
        <x:f>IF(L13="","",L13-M13)</x:f>
        <x:v>128.66199999999998</x:v>
      </x:c>
      <x:c r="O13" s="17" t="str">
        <x:v>部分到料</x:v>
      </x:c>
      <x:c r="P13" s="17" t="str">
        <x:v>合格</x:v>
      </x:c>
      <x:c r="Q13" s="17" t="str">
        <x:v>裁剪</x:v>
      </x:c>
      <x:c r="R13" s="20" t="str">
        <x:v>2026-01-23</x:v>
      </x:c>
      <x:c r="S13" s="17" t="str">
        <x:v>仓库/裁剪</x:v>
      </x:c>
      <x:c r="T13" s="17" t="str">
        <x:f>IF(P13="不合格","质检异常",IF(N13&lt;0,"负库存",IF(N13&lt;K13,"缺料",IF(AND(R13&lt;&gt;"",R13&lt;=DATE(2026,7,16),O13&lt;&gt;"已到齐"),"船期风险","正常"))))</x:f>
        <x:v>缺料</x:v>
      </x:c>
      <x:c r="U13" s="17" t="str">
        <x:f>IF(T13="缺料","采购确认到料/替代料",IF(T13="质检异常","质检判定/退换货",IF(T13="负库存","仓库复盘库存",IF(T13="船期风险","生产排产复核","按计划执行"))))</x:f>
        <x:v>采购确认到料/替代料</x:v>
      </x:c>
    </x:row>
    <x:row r="14">
      <x:c r="A14" s="17" t="str">
        <x:v>SO260318-1577</x:v>
      </x:c>
      <x:c r="B14" s="17" t="str">
        <x:v>11-13-1661-803</x:v>
      </x:c>
      <x:c r="C14" s="17" t="str">
        <x:v>男士风帽套头衫</x:v>
      </x:c>
      <x:c r="D14" s="17" t="str">
        <x:v>尾方</x:v>
      </x:c>
      <x:c r="E14" s="17" t="str">
        <x:v>纱线</x:v>
      </x:c>
      <x:c r="F14" s="17" t="str">
        <x:v>客供毛圈</x:v>
      </x:c>
      <x:c r="G14" s="17" t="str">
        <x:v>KG</x:v>
      </x:c>
      <x:c r="H14" s="18" t="n">
        <x:v>30</x:v>
      </x:c>
      <x:c r="I14" s="18" t="n">
        <x:v>1.7</x:v>
      </x:c>
      <x:c r="J14" s="19" t="n">
        <x:v>0.03</x:v>
      </x:c>
      <x:c r="K14" s="18" t="n">
        <x:f>IF(OR(H14="",I14=""),"",H14*I14*(1+J14))</x:f>
        <x:v>52.53</x:v>
      </x:c>
      <x:c r="L14" s="18" t="n">
        <x:v>52.53</x:v>
      </x:c>
      <x:c r="M14" s="18" t="n">
        <x:v>23.639</x:v>
      </x:c>
      <x:c r="N14" s="18" t="n">
        <x:f>IF(L14="","",L14-M14)</x:f>
        <x:v>28.891000000000002</x:v>
      </x:c>
      <x:c r="O14" s="17" t="str">
        <x:v>已到齐</x:v>
      </x:c>
      <x:c r="P14" s="17" t="str">
        <x:v>合格</x:v>
      </x:c>
      <x:c r="Q14" s="17" t="str">
        <x:v>横机</x:v>
      </x:c>
      <x:c r="R14" s="20" t="str">
        <x:v>2026-01-23</x:v>
      </x:c>
      <x:c r="S14" s="17" t="str">
        <x:v>生产/横机</x:v>
      </x:c>
      <x:c r="T14" s="17" t="str">
        <x:f>IF(P14="不合格","质检异常",IF(N14&lt;0,"负库存",IF(N14&lt;K14,"缺料",IF(AND(R14&lt;&gt;"",R14&lt;=DATE(2026,7,16),O14&lt;&gt;"已到齐"),"船期风险","正常"))))</x:f>
        <x:v>缺料</x:v>
      </x:c>
      <x:c r="U14" s="17" t="str">
        <x:f>IF(T14="缺料","采购确认到料/替代料",IF(T14="质检异常","质检判定/退换货",IF(T14="负库存","仓库复盘库存",IF(T14="船期风险","生产排产复核","按计划执行"))))</x:f>
        <x:v>采购确认到料/替代料</x:v>
      </x:c>
    </x:row>
    <x:row r="15">
      <x:c r="A15" s="17" t="str">
        <x:v>SO260318-1577</x:v>
      </x:c>
      <x:c r="B15" s="17" t="str">
        <x:v>11-13-1661-803</x:v>
      </x:c>
      <x:c r="C15" s="17" t="str">
        <x:v>男士风帽套头衫</x:v>
      </x:c>
      <x:c r="D15" s="17" t="str">
        <x:v>尾方</x:v>
      </x:c>
      <x:c r="E15" s="17" t="str">
        <x:v>辅料</x:v>
      </x:c>
      <x:c r="F15" s="17" t="str">
        <x:v>2*2罗文</x:v>
      </x:c>
      <x:c r="G15" s="17" t="str">
        <x:v>KG</x:v>
      </x:c>
      <x:c r="H15" s="18" t="n">
        <x:v>30</x:v>
      </x:c>
      <x:c r="I15" s="18" t="n">
        <x:v>0.26</x:v>
      </x:c>
      <x:c r="J15" s="19" t="n">
        <x:v>0.05</x:v>
      </x:c>
      <x:c r="K15" s="18" t="n">
        <x:f>IF(OR(H15="",I15=""),"",H15*I15*(1+J15))</x:f>
        <x:v>8.190000000000001</x:v>
      </x:c>
      <x:c r="L15" s="18" t="n">
        <x:v>2.047</x:v>
      </x:c>
      <x:c r="M15" s="18" t="n">
        <x:v>0.307</x:v>
      </x:c>
      <x:c r="N15" s="18" t="n">
        <x:f>IF(L15="","",L15-M15)</x:f>
        <x:v>1.7400000000000002</x:v>
      </x:c>
      <x:c r="O15" s="17" t="str">
        <x:v>部分到料</x:v>
      </x:c>
      <x:c r="P15" s="17" t="str">
        <x:v>合格</x:v>
      </x:c>
      <x:c r="Q15" s="17" t="str">
        <x:v>缝制/后道</x:v>
      </x:c>
      <x:c r="R15" s="20" t="str">
        <x:v>2026-01-23</x:v>
      </x:c>
      <x:c r="S15" s="17" t="str">
        <x:v>仓库/辅料</x:v>
      </x:c>
      <x:c r="T15" s="17" t="str">
        <x:f>IF(P15="不合格","质检异常",IF(N15&lt;0,"负库存",IF(N15&lt;K15,"缺料",IF(AND(R15&lt;&gt;"",R15&lt;=DATE(2026,7,16),O15&lt;&gt;"已到齐"),"船期风险","正常"))))</x:f>
        <x:v>缺料</x:v>
      </x:c>
      <x:c r="U15" s="17" t="str">
        <x:f>IF(T15="缺料","采购确认到料/替代料",IF(T15="质检异常","质检判定/退换货",IF(T15="负库存","仓库复盘库存",IF(T15="船期风险","生产排产复核","按计划执行"))))</x:f>
        <x:v>采购确认到料/替代料</x:v>
      </x:c>
    </x:row>
    <x:row r="16">
      <x:c r="A16" s="17" t="str">
        <x:v>SO260318-1577</x:v>
      </x:c>
      <x:c r="B16" s="17" t="str">
        <x:v>11-13-1661-803</x:v>
      </x:c>
      <x:c r="C16" s="17" t="str">
        <x:v>男士风帽套头衫</x:v>
      </x:c>
      <x:c r="D16" s="17" t="str">
        <x:v>尾方</x:v>
      </x:c>
      <x:c r="E16" s="17" t="str">
        <x:v>面料</x:v>
      </x:c>
      <x:c r="F16" s="17" t="str">
        <x:v>20/1汗布</x:v>
      </x:c>
      <x:c r="G16" s="17" t="str">
        <x:v>KG</x:v>
      </x:c>
      <x:c r="H16" s="18" t="n">
        <x:v>30</x:v>
      </x:c>
      <x:c r="I16" s="18" t="n">
        <x:v>0.15</x:v>
      </x:c>
      <x:c r="J16" s="19" t="n">
        <x:v>0.05</x:v>
      </x:c>
      <x:c r="K16" s="18" t="n">
        <x:f>IF(OR(H16="",I16=""),"",H16*I16*(1+J16))</x:f>
        <x:v>4.7250000000000005</x:v>
      </x:c>
      <x:c r="L16" s="18" t="n">
        <x:v>4.725</x:v>
      </x:c>
      <x:c r="M16" s="18" t="n">
        <x:v>0.709</x:v>
      </x:c>
      <x:c r="N16" s="18" t="n">
        <x:f>IF(L16="","",L16-M16)</x:f>
        <x:v>4.016</x:v>
      </x:c>
      <x:c r="O16" s="17" t="str">
        <x:v>已到齐</x:v>
      </x:c>
      <x:c r="P16" s="17" t="str">
        <x:v>待检</x:v>
      </x:c>
      <x:c r="Q16" s="17" t="str">
        <x:v>裁剪</x:v>
      </x:c>
      <x:c r="R16" s="20" t="str">
        <x:v>2026-01-23</x:v>
      </x:c>
      <x:c r="S16" s="17" t="str">
        <x:v>仓库/裁剪</x:v>
      </x:c>
      <x:c r="T16" s="17" t="str">
        <x:f>IF(P16="不合格","质检异常",IF(N16&lt;0,"负库存",IF(N16&lt;K16,"缺料",IF(AND(R16&lt;&gt;"",R16&lt;=DATE(2026,7,16),O16&lt;&gt;"已到齐"),"船期风险","正常"))))</x:f>
        <x:v>缺料</x:v>
      </x:c>
      <x:c r="U16" s="17" t="str">
        <x:f>IF(T16="缺料","采购确认到料/替代料",IF(T16="质检异常","质检判定/退换货",IF(T16="负库存","仓库复盘库存",IF(T16="船期风险","生产排产复核","按计划执行"))))</x:f>
        <x:v>采购确认到料/替代料</x:v>
      </x:c>
    </x:row>
    <x:row r="17">
      <x:c r="A17" s="17" t="str">
        <x:v>SO260319-1607</x:v>
      </x:c>
      <x:c r="B17" s="17" t="str">
        <x:v>6-0086-1-53-201</x:v>
      </x:c>
      <x:c r="C17" s="17" t="str">
        <x:v>圆领套头衫</x:v>
      </x:c>
      <x:c r="D17" s="17" t="str">
        <x:v>玉田</x:v>
      </x:c>
      <x:c r="E17" s="17" t="str">
        <x:v>面料</x:v>
      </x:c>
      <x:c r="F17" s="17" t="str">
        <x:v>F00921</x:v>
      </x:c>
      <x:c r="G17" s="17" t="str">
        <x:v>M</x:v>
      </x:c>
      <x:c r="H17" s="18" t="n">
        <x:v>188</x:v>
      </x:c>
      <x:c r="I17" s="18" t="n">
        <x:v>1.1</x:v>
      </x:c>
      <x:c r="J17" s="19" t="n">
        <x:v>0.05</x:v>
      </x:c>
      <x:c r="K17" s="18" t="n">
        <x:f>IF(OR(H17="",I17=""),"",H17*I17*(1+J17))</x:f>
        <x:v>217.14000000000001</x:v>
      </x:c>
      <x:c r="L17" s="18" t="n">
        <x:v>119.427</x:v>
      </x:c>
      <x:c r="M17" s="18" t="n">
        <x:v>53.742</x:v>
      </x:c>
      <x:c r="N17" s="18" t="n">
        <x:f>IF(L17="","",L17-M17)</x:f>
        <x:v>65.685</x:v>
      </x:c>
      <x:c r="O17" s="17" t="str">
        <x:v>部分到料</x:v>
      </x:c>
      <x:c r="P17" s="17" t="str">
        <x:v>合格</x:v>
      </x:c>
      <x:c r="Q17" s="17" t="str">
        <x:v>裁剪</x:v>
      </x:c>
      <x:c r="R17" s="20" t="str">
        <x:v>2026-01-09</x:v>
      </x:c>
      <x:c r="S17" s="17" t="str">
        <x:v>仓库/裁剪</x:v>
      </x:c>
      <x:c r="T17" s="17" t="str">
        <x:f>IF(P17="不合格","质检异常",IF(N17&lt;0,"负库存",IF(N17&lt;K17,"缺料",IF(AND(R17&lt;&gt;"",R17&lt;=DATE(2026,7,16),O17&lt;&gt;"已到齐"),"船期风险","正常"))))</x:f>
        <x:v>缺料</x:v>
      </x:c>
      <x:c r="U17" s="17" t="str">
        <x:f>IF(T17="缺料","采购确认到料/替代料",IF(T17="质检异常","质检判定/退换货",IF(T17="负库存","仓库复盘库存",IF(T17="船期风险","生产排产复核","按计划执行"))))</x:f>
        <x:v>采购确认到料/替代料</x:v>
      </x:c>
    </x:row>
    <x:row r="18">
      <x:c r="A18" s="17" t="str">
        <x:v>SO260319-1607</x:v>
      </x:c>
      <x:c r="B18" s="17" t="str">
        <x:v>6-0086-1-53-201</x:v>
      </x:c>
      <x:c r="C18" s="17" t="str">
        <x:v>圆领套头衫</x:v>
      </x:c>
      <x:c r="D18" s="17" t="str">
        <x:v>玉田</x:v>
      </x:c>
      <x:c r="E18" s="17" t="str">
        <x:v>面料</x:v>
      </x:c>
      <x:c r="F18" s="17" t="str">
        <x:v>索罗娜罗纹</x:v>
      </x:c>
      <x:c r="G18" s="17" t="str">
        <x:v>M</x:v>
      </x:c>
      <x:c r="H18" s="18" t="n">
        <x:v>188</x:v>
      </x:c>
      <x:c r="I18" s="18" t="n">
        <x:v>0.18</x:v>
      </x:c>
      <x:c r="J18" s="19" t="n">
        <x:v>0.05</x:v>
      </x:c>
      <x:c r="K18" s="18" t="n">
        <x:f>IF(OR(H18="",I18=""),"",H18*I18*(1+J18))</x:f>
        <x:v>35.532</x:v>
      </x:c>
      <x:c r="L18" s="18" t="n">
        <x:v>35.532</x:v>
      </x:c>
      <x:c r="M18" s="18" t="n">
        <x:v>5.33</x:v>
      </x:c>
      <x:c r="N18" s="18" t="n">
        <x:f>IF(L18="","",L18-M18)</x:f>
        <x:v>30.201999999999998</x:v>
      </x:c>
      <x:c r="O18" s="17" t="str">
        <x:v>已到齐</x:v>
      </x:c>
      <x:c r="P18" s="17" t="str">
        <x:v>合格</x:v>
      </x:c>
      <x:c r="Q18" s="17" t="str">
        <x:v>裁剪</x:v>
      </x:c>
      <x:c r="R18" s="20" t="str">
        <x:v>2026-01-09</x:v>
      </x:c>
      <x:c r="S18" s="17" t="str">
        <x:v>仓库/裁剪</x:v>
      </x:c>
      <x:c r="T18" s="17" t="str">
        <x:f>IF(P18="不合格","质检异常",IF(N18&lt;0,"负库存",IF(N18&lt;K18,"缺料",IF(AND(R18&lt;&gt;"",R18&lt;=DATE(2026,7,16),O18&lt;&gt;"已到齐"),"船期风险","正常"))))</x:f>
        <x:v>缺料</x:v>
      </x:c>
      <x:c r="U18" s="17" t="str">
        <x:f>IF(T18="缺料","采购确认到料/替代料",IF(T18="质检异常","质检判定/退换货",IF(T18="负库存","仓库复盘库存",IF(T18="船期风险","生产排产复核","按计划执行"))))</x:f>
        <x:v>采购确认到料/替代料</x:v>
      </x:c>
    </x:row>
    <x:row r="19">
      <x:c r="A19" s="17" t="str">
        <x:v>SO260318-1578</x:v>
      </x:c>
      <x:c r="B19" s="17" t="str">
        <x:v>11-24-3533-803</x:v>
      </x:c>
      <x:c r="C19" s="17" t="str">
        <x:v>男士长裤</x:v>
      </x:c>
      <x:c r="D19" s="17" t="str">
        <x:v>尾方</x:v>
      </x:c>
      <x:c r="E19" s="17" t="str">
        <x:v>纱线</x:v>
      </x:c>
      <x:c r="F19" s="17" t="str">
        <x:v>客供毛圈</x:v>
      </x:c>
      <x:c r="G19" s="17" t="str">
        <x:v>KG</x:v>
      </x:c>
      <x:c r="H19" s="18" t="n">
        <x:v>30</x:v>
      </x:c>
      <x:c r="I19" s="18" t="n">
        <x:v>1.92</x:v>
      </x:c>
      <x:c r="J19" s="19" t="n">
        <x:v>0.03</x:v>
      </x:c>
      <x:c r="K19" s="18" t="n">
        <x:f>IF(OR(H19="",I19=""),"",H19*I19*(1+J19))</x:f>
        <x:v>59.327999999999996</x:v>
      </x:c>
      <x:c r="L19" s="18" t="n">
        <x:v>59.328</x:v>
      </x:c>
      <x:c r="M19" s="18" t="n">
        <x:v>8.899</x:v>
      </x:c>
      <x:c r="N19" s="18" t="n">
        <x:f>IF(L19="","",L19-M19)</x:f>
        <x:v>50.429</x:v>
      </x:c>
      <x:c r="O19" s="17" t="str">
        <x:v>已到齐</x:v>
      </x:c>
      <x:c r="P19" s="17" t="str">
        <x:v>合格</x:v>
      </x:c>
      <x:c r="Q19" s="17" t="str">
        <x:v>横机</x:v>
      </x:c>
      <x:c r="R19" s="20" t="str">
        <x:v>2026-01-23</x:v>
      </x:c>
      <x:c r="S19" s="17" t="str">
        <x:v>生产/横机</x:v>
      </x:c>
      <x:c r="T19" s="17" t="str">
        <x:f>IF(P19="不合格","质检异常",IF(N19&lt;0,"负库存",IF(N19&lt;K19,"缺料",IF(AND(R19&lt;&gt;"",R19&lt;=DATE(2026,7,16),O19&lt;&gt;"已到齐"),"船期风险","正常"))))</x:f>
        <x:v>缺料</x:v>
      </x:c>
      <x:c r="U19" s="17" t="str">
        <x:f>IF(T19="缺料","采购确认到料/替代料",IF(T19="质检异常","质检判定/退换货",IF(T19="负库存","仓库复盘库存",IF(T19="船期风险","生产排产复核","按计划执行"))))</x:f>
        <x:v>采购确认到料/替代料</x:v>
      </x:c>
    </x:row>
    <x:row r="20">
      <x:c r="A20" s="17" t="str">
        <x:v>SO260318-1578</x:v>
      </x:c>
      <x:c r="B20" s="17" t="str">
        <x:v>11-24-3533-803</x:v>
      </x:c>
      <x:c r="C20" s="17" t="str">
        <x:v>男士长裤</x:v>
      </x:c>
      <x:c r="D20" s="17" t="str">
        <x:v>尾方</x:v>
      </x:c>
      <x:c r="E20" s="17" t="str">
        <x:v>面料</x:v>
      </x:c>
      <x:c r="F20" s="17" t="str">
        <x:v>网眼袋布</x:v>
      </x:c>
      <x:c r="G20" s="17" t="str">
        <x:v>KG</x:v>
      </x:c>
      <x:c r="H20" s="18" t="n">
        <x:v>30</x:v>
      </x:c>
      <x:c r="I20" s="18" t="n">
        <x:v>0.26</x:v>
      </x:c>
      <x:c r="J20" s="19" t="n">
        <x:v>0.05</x:v>
      </x:c>
      <x:c r="K20" s="18" t="n">
        <x:f>IF(OR(H20="",I20=""),"",H20*I20*(1+J20))</x:f>
        <x:v>8.190000000000001</x:v>
      </x:c>
      <x:c r="L20" s="18" t="n">
        <x:v>2.047</x:v>
      </x:c>
      <x:c r="M20" s="18" t="n">
        <x:v>0.921</x:v>
      </x:c>
      <x:c r="N20" s="18" t="n">
        <x:f>IF(L20="","",L20-M20)</x:f>
        <x:v>1.1260000000000001</x:v>
      </x:c>
      <x:c r="O20" s="17" t="str">
        <x:v>部分到料</x:v>
      </x:c>
      <x:c r="P20" s="17" t="str">
        <x:v>合格</x:v>
      </x:c>
      <x:c r="Q20" s="17" t="str">
        <x:v>裁剪</x:v>
      </x:c>
      <x:c r="R20" s="20" t="str">
        <x:v>2026-01-23</x:v>
      </x:c>
      <x:c r="S20" s="17" t="str">
        <x:v>仓库/裁剪</x:v>
      </x:c>
      <x:c r="T20" s="17" t="str">
        <x:f>IF(P20="不合格","质检异常",IF(N20&lt;0,"负库存",IF(N20&lt;K20,"缺料",IF(AND(R20&lt;&gt;"",R20&lt;=DATE(2026,7,16),O20&lt;&gt;"已到齐"),"船期风险","正常"))))</x:f>
        <x:v>缺料</x:v>
      </x:c>
      <x:c r="U20" s="17" t="str">
        <x:f>IF(T20="缺料","采购确认到料/替代料",IF(T20="质检异常","质检判定/退换货",IF(T20="负库存","仓库复盘库存",IF(T20="船期风险","生产排产复核","按计划执行"))))</x:f>
        <x:v>采购确认到料/替代料</x:v>
      </x:c>
    </x:row>
    <x:row r="21">
      <x:c r="A21" s="17" t="str">
        <x:v>SO260318-1578</x:v>
      </x:c>
      <x:c r="B21" s="17" t="str">
        <x:v>11-24-3533-803</x:v>
      </x:c>
      <x:c r="C21" s="17" t="str">
        <x:v>男士长裤</x:v>
      </x:c>
      <x:c r="D21" s="17" t="str">
        <x:v>尾方</x:v>
      </x:c>
      <x:c r="E21" s="17" t="str">
        <x:v>纱线</x:v>
      </x:c>
      <x:c r="F21" s="17" t="str">
        <x:v>客供毛圈</x:v>
      </x:c>
      <x:c r="G21" s="17" t="str">
        <x:v>KG</x:v>
      </x:c>
      <x:c r="H21" s="18" t="n">
        <x:v>30</x:v>
      </x:c>
      <x:c r="I21" s="18" t="n">
        <x:v>0.16</x:v>
      </x:c>
      <x:c r="J21" s="19" t="n">
        <x:v>0.03</x:v>
      </x:c>
      <x:c r="K21" s="18" t="n">
        <x:f>IF(OR(H21="",I21=""),"",H21*I21*(1+J21))</x:f>
        <x:v>4.944</x:v>
      </x:c>
      <x:c r="L21" s="18" t="n">
        <x:v>2.719</x:v>
      </x:c>
      <x:c r="M21" s="18" t="n">
        <x:v>0.408</x:v>
      </x:c>
      <x:c r="N21" s="18" t="n">
        <x:f>IF(L21="","",L21-M21)</x:f>
        <x:v>2.311</x:v>
      </x:c>
      <x:c r="O21" s="17" t="str">
        <x:v>部分到料</x:v>
      </x:c>
      <x:c r="P21" s="17" t="str">
        <x:v>合格</x:v>
      </x:c>
      <x:c r="Q21" s="17" t="str">
        <x:v>横机</x:v>
      </x:c>
      <x:c r="R21" s="20" t="str">
        <x:v>2026-01-23</x:v>
      </x:c>
      <x:c r="S21" s="17" t="str">
        <x:v>生产/横机</x:v>
      </x:c>
      <x:c r="T21" s="17" t="str">
        <x:f>IF(P21="不合格","质检异常",IF(N21&lt;0,"负库存",IF(N21&lt;K21,"缺料",IF(AND(R21&lt;&gt;"",R21&lt;=DATE(2026,7,16),O21&lt;&gt;"已到齐"),"船期风险","正常"))))</x:f>
        <x:v>缺料</x:v>
      </x:c>
      <x:c r="U21" s="17" t="str">
        <x:f>IF(T21="缺料","采购确认到料/替代料",IF(T21="质检异常","质检判定/退换货",IF(T21="负库存","仓库复盘库存",IF(T21="船期风险","生产排产复核","按计划执行"))))</x:f>
        <x:v>采购确认到料/替代料</x:v>
      </x:c>
    </x:row>
    <x:row r="22">
      <x:c r="A22" s="17" t="str">
        <x:v>SO251119-995</x:v>
      </x:c>
      <x:c r="B22" s="17" t="str">
        <x:v>26-080-312-5000-1-0</x:v>
      </x:c>
      <x:c r="C22" s="17" t="str">
        <x:v>男士毛衣POLO衫</x:v>
      </x:c>
      <x:c r="D22" s="17" t="str">
        <x:v>玉田</x:v>
      </x:c>
      <x:c r="E22" s="17" t="str">
        <x:v>纱线</x:v>
      </x:c>
      <x:c r="F22" s="17" t="str">
        <x:v>150D中弹丝</x:v>
      </x:c>
      <x:c r="G22" s="17" t="str">
        <x:v>KG</x:v>
      </x:c>
      <x:c r="H22" s="18" t="n">
        <x:v>300</x:v>
      </x:c>
      <x:c r="I22" s="18" t="n">
        <x:v>0.16</x:v>
      </x:c>
      <x:c r="J22" s="19" t="n">
        <x:v>0.03</x:v>
      </x:c>
      <x:c r="K22" s="18" t="n">
        <x:f>IF(OR(H22="",I22=""),"",H22*I22*(1+J22))</x:f>
        <x:v>49.44</x:v>
      </x:c>
      <x:c r="L22" s="18" t="n">
        <x:v>49.44</x:v>
      </x:c>
      <x:c r="M22" s="18" t="n">
        <x:v>7.416</x:v>
      </x:c>
      <x:c r="N22" s="18" t="n">
        <x:f>IF(L22="","",L22-M22)</x:f>
        <x:v>42.024</x:v>
      </x:c>
      <x:c r="O22" s="17" t="str">
        <x:v>已到齐</x:v>
      </x:c>
      <x:c r="P22" s="17" t="str">
        <x:v>不合格</x:v>
      </x:c>
      <x:c r="Q22" s="17" t="str">
        <x:v>横机</x:v>
      </x:c>
      <x:c r="R22" s="20" t="str">
        <x:v>2026-01-09</x:v>
      </x:c>
      <x:c r="S22" s="17" t="str">
        <x:v>生产/横机</x:v>
      </x:c>
      <x:c r="T22" s="17" t="str">
        <x:f>IF(P22="不合格","质检异常",IF(N22&lt;0,"负库存",IF(N22&lt;K22,"缺料",IF(AND(R22&lt;&gt;"",R22&lt;=DATE(2026,7,16),O22&lt;&gt;"已到齐"),"船期风险","正常"))))</x:f>
        <x:v>质检异常</x:v>
      </x:c>
      <x:c r="U22" s="17" t="str">
        <x:f>IF(T22="缺料","采购确认到料/替代料",IF(T22="质检异常","质检判定/退换货",IF(T22="负库存","仓库复盘库存",IF(T22="船期风险","生产排产复核","按计划执行"))))</x:f>
        <x:v>质检判定/退换货</x:v>
      </x:c>
    </x:row>
    <x:row r="23">
      <x:c r="A23" s="17" t="str">
        <x:v>SO251119-995</x:v>
      </x:c>
      <x:c r="B23" s="17" t="str">
        <x:v>26-080-312-5000-1-0</x:v>
      </x:c>
      <x:c r="C23" s="17" t="str">
        <x:v>男士毛衣POLO衫</x:v>
      </x:c>
      <x:c r="D23" s="17" t="str">
        <x:v>玉田</x:v>
      </x:c>
      <x:c r="E23" s="17" t="str">
        <x:v>纱线</x:v>
      </x:c>
      <x:c r="F23" s="17" t="str">
        <x:v>雪尼尔</x:v>
      </x:c>
      <x:c r="G23" s="17" t="str">
        <x:v>KG</x:v>
      </x:c>
      <x:c r="H23" s="18" t="n">
        <x:v>300</x:v>
      </x:c>
      <x:c r="I23" s="18" t="n">
        <x:v>0.19</x:v>
      </x:c>
      <x:c r="J23" s="19" t="n">
        <x:v>0.03</x:v>
      </x:c>
      <x:c r="K23" s="18" t="n">
        <x:f>IF(OR(H23="",I23=""),"",H23*I23*(1+J23))</x:f>
        <x:v>58.71</x:v>
      </x:c>
      <x:c r="L23" s="18" t="n">
        <x:v>58.71</x:v>
      </x:c>
      <x:c r="M23" s="18" t="n">
        <x:v>26.42</x:v>
      </x:c>
      <x:c r="N23" s="18" t="n">
        <x:f>IF(L23="","",L23-M23)</x:f>
        <x:v>32.29</x:v>
      </x:c>
      <x:c r="O23" s="17" t="str">
        <x:v>已到齐</x:v>
      </x:c>
      <x:c r="P23" s="17" t="str">
        <x:v>合格</x:v>
      </x:c>
      <x:c r="Q23" s="17" t="str">
        <x:v>横机</x:v>
      </x:c>
      <x:c r="R23" s="20" t="str">
        <x:v>2026-01-09</x:v>
      </x:c>
      <x:c r="S23" s="17" t="str">
        <x:v>生产/横机</x:v>
      </x:c>
      <x:c r="T23" s="17" t="str">
        <x:f>IF(P23="不合格","质检异常",IF(N23&lt;0,"负库存",IF(N23&lt;K23,"缺料",IF(AND(R23&lt;&gt;"",R23&lt;=DATE(2026,7,16),O23&lt;&gt;"已到齐"),"船期风险","正常"))))</x:f>
        <x:v>缺料</x:v>
      </x:c>
      <x:c r="U23" s="17" t="str">
        <x:f>IF(T23="缺料","采购确认到料/替代料",IF(T23="质检异常","质检判定/退换货",IF(T23="负库存","仓库复盘库存",IF(T23="船期风险","生产排产复核","按计划执行"))))</x:f>
        <x:v>采购确认到料/替代料</x:v>
      </x:c>
    </x:row>
    <x:row r="24">
      <x:c r="A24" s="17" t="str">
        <x:v>SO251119-995</x:v>
      </x:c>
      <x:c r="B24" s="17" t="str">
        <x:v>26-080-312-5000-1-0</x:v>
      </x:c>
      <x:c r="C24" s="17" t="str">
        <x:v>男士毛衣POLO衫</x:v>
      </x:c>
      <x:c r="D24" s="17" t="str">
        <x:v>玉田</x:v>
      </x:c>
      <x:c r="E24" s="17" t="str">
        <x:v>纱线</x:v>
      </x:c>
      <x:c r="F24" s="17" t="str">
        <x:v>氨纶丝</x:v>
      </x:c>
      <x:c r="G24" s="17" t="str">
        <x:v>KG</x:v>
      </x:c>
      <x:c r="H24" s="18" t="n">
        <x:v>300</x:v>
      </x:c>
      <x:c r="I24" s="18" t="n">
        <x:v>0.02</x:v>
      </x:c>
      <x:c r="J24" s="19" t="n">
        <x:v>0.03</x:v>
      </x:c>
      <x:c r="K24" s="18" t="n">
        <x:f>IF(OR(H24="",I24=""),"",H24*I24*(1+J24))</x:f>
        <x:v>6.18</x:v>
      </x:c>
      <x:c r="L24" s="18" t="n">
        <x:v>6.18</x:v>
      </x:c>
      <x:c r="M24" s="18" t="n">
        <x:v>0.927</x:v>
      </x:c>
      <x:c r="N24" s="18" t="n">
        <x:f>IF(L24="","",L24-M24)</x:f>
        <x:v>5.253</x:v>
      </x:c>
      <x:c r="O24" s="17" t="str">
        <x:v>已到齐</x:v>
      </x:c>
      <x:c r="P24" s="17" t="str">
        <x:v>合格</x:v>
      </x:c>
      <x:c r="Q24" s="17" t="str">
        <x:v>横机</x:v>
      </x:c>
      <x:c r="R24" s="20" t="str">
        <x:v>2026-01-09</x:v>
      </x:c>
      <x:c r="S24" s="17" t="str">
        <x:v>生产/横机</x:v>
      </x:c>
      <x:c r="T24" s="17" t="str">
        <x:f>IF(P24="不合格","质检异常",IF(N24&lt;0,"负库存",IF(N24&lt;K24,"缺料",IF(AND(R24&lt;&gt;"",R24&lt;=DATE(2026,7,16),O24&lt;&gt;"已到齐"),"船期风险","正常"))))</x:f>
        <x:v>缺料</x:v>
      </x:c>
      <x:c r="U24" s="17" t="str">
        <x:f>IF(T24="缺料","采购确认到料/替代料",IF(T24="质检异常","质检判定/退换货",IF(T24="负库存","仓库复盘库存",IF(T24="船期风险","生产排产复核","按计划执行"))))</x:f>
        <x:v>采购确认到料/替代料</x:v>
      </x:c>
    </x:row>
    <x:row r="25">
      <x:c r="A25" s="17" t="str">
        <x:v>SO251205-1093</x:v>
      </x:c>
      <x:c r="B25" s="17" t="str">
        <x:v>616-35027</x:v>
      </x:c>
      <x:c r="C25" s="17" t="str">
        <x:v>男士针织毛毯针套头衫</x:v>
      </x:c>
      <x:c r="D25" s="17" t="str">
        <x:v>玉田</x:v>
      </x:c>
      <x:c r="E25" s="17" t="str">
        <x:v>辅料</x:v>
      </x:c>
      <x:c r="F25" s="17" t="str">
        <x:v>240克空气层</x:v>
      </x:c>
      <x:c r="G25" s="17" t="str">
        <x:v>KG</x:v>
      </x:c>
      <x:c r="H25" s="18" t="n">
        <x:v>750</x:v>
      </x:c>
      <x:c r="I25" s="18" t="n">
        <x:v>0.95</x:v>
      </x:c>
      <x:c r="J25" s="19" t="n">
        <x:v>0.05</x:v>
      </x:c>
      <x:c r="K25" s="18" t="n">
        <x:f>IF(OR(H25="",I25=""),"",H25*I25*(1+J25))</x:f>
        <x:v>748.125</x:v>
      </x:c>
      <x:c r="L25" s="18" t="n">
        <x:v>187.031</x:v>
      </x:c>
      <x:c r="M25" s="18" t="n">
        <x:v>28.055</x:v>
      </x:c>
      <x:c r="N25" s="18" t="n">
        <x:f>IF(L25="","",L25-M25)</x:f>
        <x:v>158.976</x:v>
      </x:c>
      <x:c r="O25" s="17" t="str">
        <x:v>部分到料</x:v>
      </x:c>
      <x:c r="P25" s="17" t="str">
        <x:v>合格</x:v>
      </x:c>
      <x:c r="Q25" s="17" t="str">
        <x:v>缝制/后道</x:v>
      </x:c>
      <x:c r="R25" s="20" t="str">
        <x:v>2026-01-16</x:v>
      </x:c>
      <x:c r="S25" s="17" t="str">
        <x:v>仓库/辅料</x:v>
      </x:c>
      <x:c r="T25" s="17" t="str">
        <x:f>IF(P25="不合格","质检异常",IF(N25&lt;0,"负库存",IF(N25&lt;K25,"缺料",IF(AND(R25&lt;&gt;"",R25&lt;=DATE(2026,7,16),O25&lt;&gt;"已到齐"),"船期风险","正常"))))</x:f>
        <x:v>缺料</x:v>
      </x:c>
      <x:c r="U25" s="17" t="str">
        <x:f>IF(T25="缺料","采购确认到料/替代料",IF(T25="质检异常","质检判定/退换货",IF(T25="负库存","仓库复盘库存",IF(T25="船期风险","生产排产复核","按计划执行"))))</x:f>
        <x:v>采购确认到料/替代料</x:v>
      </x:c>
    </x:row>
    <x:row r="26">
      <x:c r="A26" s="17" t="str">
        <x:v>SO251018-708</x:v>
      </x:c>
      <x:c r="B26" s="17" t="str">
        <x:v>1612-1-000024</x:v>
      </x:c>
      <x:c r="C26" s="17" t="str">
        <x:v>女士针织T</x:v>
      </x:c>
      <x:c r="D26" s="17" t="str">
        <x:v>片山</x:v>
      </x:c>
      <x:c r="E26" s="17" t="str">
        <x:v>面料</x:v>
      </x:c>
      <x:c r="F26" s="17" t="str">
        <x:v>面料F02666</x:v>
      </x:c>
      <x:c r="G26" s="17" t="str">
        <x:v>M</x:v>
      </x:c>
      <x:c r="H26" s="18" t="n">
        <x:v>1500</x:v>
      </x:c>
      <x:c r="I26" s="18" t="n">
        <x:v>0.74</x:v>
      </x:c>
      <x:c r="J26" s="19" t="n">
        <x:v>0.05</x:v>
      </x:c>
      <x:c r="K26" s="18" t="n">
        <x:f>IF(OR(H26="",I26=""),"",H26*I26*(1+J26))</x:f>
        <x:v>1165.5</x:v>
      </x:c>
      <x:c r="L26" s="18" t="n">
        <x:v>1165.5</x:v>
      </x:c>
      <x:c r="M26" s="18" t="n">
        <x:v>524.475</x:v>
      </x:c>
      <x:c r="N26" s="18" t="n">
        <x:f>IF(L26="","",L26-M26)</x:f>
        <x:v>641.025</x:v>
      </x:c>
      <x:c r="O26" s="17" t="str">
        <x:v>已到齐</x:v>
      </x:c>
      <x:c r="P26" s="17" t="str">
        <x:v>合格</x:v>
      </x:c>
      <x:c r="Q26" s="17" t="str">
        <x:v>裁剪</x:v>
      </x:c>
      <x:c r="R26" s="20" t="str">
        <x:v>2026-01-30</x:v>
      </x:c>
      <x:c r="S26" s="17" t="str">
        <x:v>仓库/裁剪</x:v>
      </x:c>
      <x:c r="T26" s="17" t="str">
        <x:f>IF(P26="不合格","质检异常",IF(N26&lt;0,"负库存",IF(N26&lt;K26,"缺料",IF(AND(R26&lt;&gt;"",R26&lt;=DATE(2026,7,16),O26&lt;&gt;"已到齐"),"船期风险","正常"))))</x:f>
        <x:v>缺料</x:v>
      </x:c>
      <x:c r="U26" s="17" t="str">
        <x:f>IF(T26="缺料","采购确认到料/替代料",IF(T26="质检异常","质检判定/退换货",IF(T26="负库存","仓库复盘库存",IF(T26="船期风险","生产排产复核","按计划执行"))))</x:f>
        <x:v>采购确认到料/替代料</x:v>
      </x:c>
    </x:row>
    <x:row r="27">
      <x:c r="A27" s="17" t="str">
        <x:v>SO251018-708</x:v>
      </x:c>
      <x:c r="B27" s="17" t="str">
        <x:v>1612-1-000024</x:v>
      </x:c>
      <x:c r="C27" s="17" t="str">
        <x:v>女士针织T</x:v>
      </x:c>
      <x:c r="D27" s="17" t="str">
        <x:v>片山</x:v>
      </x:c>
      <x:c r="E27" s="17" t="str">
        <x:v>面料</x:v>
      </x:c>
      <x:c r="F27" s="17" t="str">
        <x:v>面料F03181</x:v>
      </x:c>
      <x:c r="G27" s="17" t="str">
        <x:v>M</x:v>
      </x:c>
      <x:c r="H27" s="18" t="n">
        <x:v>1500</x:v>
      </x:c>
      <x:c r="I27" s="18" t="n">
        <x:v>0.03</x:v>
      </x:c>
      <x:c r="J27" s="19" t="n">
        <x:v>0.05</x:v>
      </x:c>
      <x:c r="K27" s="18" t="n">
        <x:f>IF(OR(H27="",I27=""),"",H27*I27*(1+J27))</x:f>
        <x:v>47.25</x:v>
      </x:c>
      <x:c r="L27" s="18" t="n">
        <x:v>47.25</x:v>
      </x:c>
      <x:c r="M27" s="18" t="n">
        <x:v>7.087</x:v>
      </x:c>
      <x:c r="N27" s="18" t="n">
        <x:f>IF(L27="","",L27-M27)</x:f>
        <x:v>40.163</x:v>
      </x:c>
      <x:c r="O27" s="17" t="str">
        <x:v>已到齐</x:v>
      </x:c>
      <x:c r="P27" s="17" t="str">
        <x:v>待检</x:v>
      </x:c>
      <x:c r="Q27" s="17" t="str">
        <x:v>裁剪</x:v>
      </x:c>
      <x:c r="R27" s="20" t="str">
        <x:v>2026-01-30</x:v>
      </x:c>
      <x:c r="S27" s="17" t="str">
        <x:v>仓库/裁剪</x:v>
      </x:c>
      <x:c r="T27" s="17" t="str">
        <x:f>IF(P27="不合格","质检异常",IF(N27&lt;0,"负库存",IF(N27&lt;K27,"缺料",IF(AND(R27&lt;&gt;"",R27&lt;=DATE(2026,7,16),O27&lt;&gt;"已到齐"),"船期风险","正常"))))</x:f>
        <x:v>缺料</x:v>
      </x:c>
      <x:c r="U27" s="17" t="str">
        <x:f>IF(T27="缺料","采购确认到料/替代料",IF(T27="质检异常","质检判定/退换货",IF(T27="负库存","仓库复盘库存",IF(T27="船期风险","生产排产复核","按计划执行"))))</x:f>
        <x:v>采购确认到料/替代料</x:v>
      </x:c>
    </x:row>
    <x:row r="28">
      <x:c r="A28" s="17" t="str">
        <x:v>SO251205-1091</x:v>
      </x:c>
      <x:c r="B28" s="17" t="str">
        <x:v>616-35026</x:v>
      </x:c>
      <x:c r="C28" s="17" t="str">
        <x:v>男士针织套头衫</x:v>
      </x:c>
      <x:c r="D28" s="17" t="str">
        <x:v>玉田</x:v>
      </x:c>
      <x:c r="E28" s="17" t="str">
        <x:v>辅料</x:v>
      </x:c>
      <x:c r="F28" s="17" t="str">
        <x:v>240克棉涤氨纶空气层</x:v>
      </x:c>
      <x:c r="G28" s="17" t="str">
        <x:v>KG</x:v>
      </x:c>
      <x:c r="H28" s="18" t="n">
        <x:v>2000</x:v>
      </x:c>
      <x:c r="I28" s="18" t="n">
        <x:v>0.93</x:v>
      </x:c>
      <x:c r="J28" s="19" t="n">
        <x:v>0.05</x:v>
      </x:c>
      <x:c r="K28" s="18" t="n">
        <x:f>IF(OR(H28="",I28=""),"",H28*I28*(1+J28))</x:f>
        <x:v>1953</x:v>
      </x:c>
      <x:c r="L28" s="18" t="n">
        <x:v>1953</x:v>
      </x:c>
      <x:c r="M28" s="18" t="n">
        <x:v>292.95</x:v>
      </x:c>
      <x:c r="N28" s="18" t="n">
        <x:f>IF(L28="","",L28-M28)</x:f>
        <x:v>1660.05</x:v>
      </x:c>
      <x:c r="O28" s="17" t="str">
        <x:v>已到齐</x:v>
      </x:c>
      <x:c r="P28" s="17" t="str">
        <x:v>合格</x:v>
      </x:c>
      <x:c r="Q28" s="17" t="str">
        <x:v>缝制/后道</x:v>
      </x:c>
      <x:c r="R28" s="20" t="str">
        <x:v>2026-01-16</x:v>
      </x:c>
      <x:c r="S28" s="17" t="str">
        <x:v>仓库/辅料</x:v>
      </x:c>
      <x:c r="T28" s="17" t="str">
        <x:f>IF(P28="不合格","质检异常",IF(N28&lt;0,"负库存",IF(N28&lt;K28,"缺料",IF(AND(R28&lt;&gt;"",R28&lt;=DATE(2026,7,16),O28&lt;&gt;"已到齐"),"船期风险","正常"))))</x:f>
        <x:v>缺料</x:v>
      </x:c>
      <x:c r="U28" s="17" t="str">
        <x:f>IF(T28="缺料","采购确认到料/替代料",IF(T28="质检异常","质检判定/退换货",IF(T28="负库存","仓库复盘库存",IF(T28="船期风险","生产排产复核","按计划执行"))))</x:f>
        <x:v>采购确认到料/替代料</x:v>
      </x:c>
    </x:row>
    <x:row r="29">
      <x:c r="A29" s="17" t="str">
        <x:v>SO250806-336</x:v>
      </x:c>
      <x:c r="B29" s="17" t="str">
        <x:v>KKWMLM0333</x:v>
      </x:c>
      <x:c r="C29" s="17" t="str">
        <x:v>女士针织T恤</x:v>
      </x:c>
      <x:c r="D29" s="17" t="str">
        <x:v>今村</x:v>
      </x:c>
      <x:c r="E29" s="17" t="str">
        <x:v>面料</x:v>
      </x:c>
      <x:c r="F29" s="17" t="str">
        <x:v>面料F06037</x:v>
      </x:c>
      <x:c r="G29" s="17" t="str">
        <x:v>M</x:v>
      </x:c>
      <x:c r="H29" s="18" t="n">
        <x:v>1037</x:v>
      </x:c>
      <x:c r="I29" s="18" t="n">
        <x:v>0.75</x:v>
      </x:c>
      <x:c r="J29" s="19" t="n">
        <x:v>0.05</x:v>
      </x:c>
      <x:c r="K29" s="18" t="n">
        <x:f>IF(OR(H29="",I29=""),"",H29*I29*(1+J29))</x:f>
        <x:v>816.6375</x:v>
      </x:c>
      <x:c r="L29" s="18" t="n">
        <x:v>449.151</x:v>
      </x:c>
      <x:c r="M29" s="18" t="n">
        <x:v>202.118</x:v>
      </x:c>
      <x:c r="N29" s="18" t="n">
        <x:f>IF(L29="","",L29-M29)</x:f>
        <x:v>247.03300000000002</x:v>
      </x:c>
      <x:c r="O29" s="17" t="str">
        <x:v>部分到料</x:v>
      </x:c>
      <x:c r="P29" s="17" t="str">
        <x:v>合格</x:v>
      </x:c>
      <x:c r="Q29" s="17" t="str">
        <x:v>裁剪</x:v>
      </x:c>
      <x:c r="R29" s="20" t="str">
        <x:v>2026-01-29</x:v>
      </x:c>
      <x:c r="S29" s="17" t="str">
        <x:v>仓库/裁剪</x:v>
      </x:c>
      <x:c r="T29" s="17" t="str">
        <x:f>IF(P29="不合格","质检异常",IF(N29&lt;0,"负库存",IF(N29&lt;K29,"缺料",IF(AND(R29&lt;&gt;"",R29&lt;=DATE(2026,7,16),O29&lt;&gt;"已到齐"),"船期风险","正常"))))</x:f>
        <x:v>缺料</x:v>
      </x:c>
      <x:c r="U29" s="17" t="str">
        <x:f>IF(T29="缺料","采购确认到料/替代料",IF(T29="质检异常","质检判定/退换货",IF(T29="负库存","仓库复盘库存",IF(T29="船期风险","生产排产复核","按计划执行"))))</x:f>
        <x:v>采购确认到料/替代料</x:v>
      </x:c>
    </x:row>
    <x:row r="30">
      <x:c r="A30" s="17" t="str">
        <x:v>SO250806-338</x:v>
      </x:c>
      <x:c r="B30" s="17" t="str">
        <x:v>KKWMLM0331</x:v>
      </x:c>
      <x:c r="C30" s="17" t="str">
        <x:v>女士针织套头衫</x:v>
      </x:c>
      <x:c r="D30" s="17" t="str">
        <x:v>今村</x:v>
      </x:c>
      <x:c r="E30" s="17" t="str">
        <x:v>面料</x:v>
      </x:c>
      <x:c r="F30" s="17" t="str">
        <x:v>面料F05915</x:v>
      </x:c>
      <x:c r="G30" s="17" t="str">
        <x:v>M</x:v>
      </x:c>
      <x:c r="H30" s="18" t="n">
        <x:v>628</x:v>
      </x:c>
      <x:c r="I30" s="18" t="n">
        <x:v>0.55</x:v>
      </x:c>
      <x:c r="J30" s="19" t="n">
        <x:v>0.05</x:v>
      </x:c>
      <x:c r="K30" s="18" t="n">
        <x:f>IF(OR(H30="",I30=""),"",H30*I30*(1+J30))</x:f>
        <x:v>362.6700000000001</x:v>
      </x:c>
      <x:c r="L30" s="18" t="n">
        <x:v>90.668</x:v>
      </x:c>
      <x:c r="M30" s="18" t="n">
        <x:v>13.6</x:v>
      </x:c>
      <x:c r="N30" s="18" t="n">
        <x:f>IF(L30="","",L30-M30)</x:f>
        <x:v>77.06800000000001</x:v>
      </x:c>
      <x:c r="O30" s="17" t="str">
        <x:v>部分到料</x:v>
      </x:c>
      <x:c r="P30" s="17" t="str">
        <x:v>合格</x:v>
      </x:c>
      <x:c r="Q30" s="17" t="str">
        <x:v>裁剪</x:v>
      </x:c>
      <x:c r="R30" s="20" t="str">
        <x:v>2026-02-07</x:v>
      </x:c>
      <x:c r="S30" s="17" t="str">
        <x:v>仓库/裁剪</x:v>
      </x:c>
      <x:c r="T30" s="17" t="str">
        <x:f>IF(P30="不合格","质检异常",IF(N30&lt;0,"负库存",IF(N30&lt;K30,"缺料",IF(AND(R30&lt;&gt;"",R30&lt;=DATE(2026,7,16),O30&lt;&gt;"已到齐"),"船期风险","正常"))))</x:f>
        <x:v>缺料</x:v>
      </x:c>
      <x:c r="U30" s="17" t="str">
        <x:f>IF(T30="缺料","采购确认到料/替代料",IF(T30="质检异常","质检判定/退换货",IF(T30="负库存","仓库复盘库存",IF(T30="船期风险","生产排产复核","按计划执行"))))</x:f>
        <x:v>采购确认到料/替代料</x:v>
      </x:c>
    </x:row>
    <x:row r="31">
      <x:c r="A31" s="17" t="str">
        <x:v>SO250806-338</x:v>
      </x:c>
      <x:c r="B31" s="17" t="str">
        <x:v>KKWMLM0331</x:v>
      </x:c>
      <x:c r="C31" s="17" t="str">
        <x:v>女士针织套头衫</x:v>
      </x:c>
      <x:c r="D31" s="17" t="str">
        <x:v>今村</x:v>
      </x:c>
      <x:c r="E31" s="17" t="str">
        <x:v>面料</x:v>
      </x:c>
      <x:c r="F31" s="17" t="str">
        <x:v>日本别布</x:v>
      </x:c>
      <x:c r="G31" s="17" t="str">
        <x:v>M</x:v>
      </x:c>
      <x:c r="H31" s="18" t="n">
        <x:v>628</x:v>
      </x:c>
      <x:c r="I31" s="18" t="n">
        <x:v>0.18</x:v>
      </x:c>
      <x:c r="J31" s="19" t="n">
        <x:v>0.05</x:v>
      </x:c>
      <x:c r="K31" s="18" t="n">
        <x:f>IF(OR(H31="",I31=""),"",H31*I31*(1+J31))</x:f>
        <x:v>118.692</x:v>
      </x:c>
      <x:c r="L31" s="18" t="n">
        <x:v>118.692</x:v>
      </x:c>
      <x:c r="M31" s="18" t="n">
        <x:v>17.804</x:v>
      </x:c>
      <x:c r="N31" s="18" t="n">
        <x:f>IF(L31="","",L31-M31)</x:f>
        <x:v>100.88799999999999</x:v>
      </x:c>
      <x:c r="O31" s="17" t="str">
        <x:v>已到齐</x:v>
      </x:c>
      <x:c r="P31" s="17" t="str">
        <x:v>合格</x:v>
      </x:c>
      <x:c r="Q31" s="17" t="str">
        <x:v>裁剪</x:v>
      </x:c>
      <x:c r="R31" s="20" t="str">
        <x:v>2026-02-07</x:v>
      </x:c>
      <x:c r="S31" s="17" t="str">
        <x:v>仓库/裁剪</x:v>
      </x:c>
      <x:c r="T31" s="17" t="str">
        <x:f>IF(P31="不合格","质检异常",IF(N31&lt;0,"负库存",IF(N31&lt;K31,"缺料",IF(AND(R31&lt;&gt;"",R31&lt;=DATE(2026,7,16),O31&lt;&gt;"已到齐"),"船期风险","正常"))))</x:f>
        <x:v>缺料</x:v>
      </x:c>
      <x:c r="U31" s="17" t="str">
        <x:f>IF(T31="缺料","采购确认到料/替代料",IF(T31="质检异常","质检判定/退换货",IF(T31="负库存","仓库复盘库存",IF(T31="船期风险","生产排产复核","按计划执行"))))</x:f>
        <x:v>采购确认到料/替代料</x:v>
      </x:c>
    </x:row>
    <x:row r="32">
      <x:c r="A32" s="17" t="str">
        <x:v>SO250809-343</x:v>
      </x:c>
      <x:c r="B32" s="17" t="str">
        <x:v>102439090005</x:v>
      </x:c>
      <x:c r="C32" s="17" t="str">
        <x:v>男士毛衣拼接中国结上衣</x:v>
      </x:c>
      <x:c r="D32" s="17" t="str">
        <x:v>国武</x:v>
      </x:c>
      <x:c r="E32" s="17" t="str">
        <x:v>纱线</x:v>
      </x:c>
      <x:c r="F32" s="17" t="str">
        <x:v>2/36麻纱线</x:v>
      </x:c>
      <x:c r="G32" s="17" t="str">
        <x:v>KG</x:v>
      </x:c>
      <x:c r="H32" s="18" t="n">
        <x:v>50</x:v>
      </x:c>
      <x:c r="I32" s="18" t="n">
        <x:v>0.72</x:v>
      </x:c>
      <x:c r="J32" s="19" t="n">
        <x:v>0.03</x:v>
      </x:c>
      <x:c r="K32" s="18" t="n">
        <x:f>IF(OR(H32="",I32=""),"",H32*I32*(1+J32))</x:f>
        <x:v>37.08</x:v>
      </x:c>
      <x:c r="L32" s="18" t="n">
        <x:v>37.08</x:v>
      </x:c>
      <x:c r="M32" s="18" t="n">
        <x:v>16.686</x:v>
      </x:c>
      <x:c r="N32" s="18" t="n">
        <x:f>IF(L32="","",L32-M32)</x:f>
        <x:v>20.394</x:v>
      </x:c>
      <x:c r="O32" s="17" t="str">
        <x:v>已到齐</x:v>
      </x:c>
      <x:c r="P32" s="17" t="str">
        <x:v>合格</x:v>
      </x:c>
      <x:c r="Q32" s="17" t="str">
        <x:v>横机</x:v>
      </x:c>
      <x:c r="R32" s="20" t="str">
        <x:v>2026-01-13</x:v>
      </x:c>
      <x:c r="S32" s="17" t="str">
        <x:v>生产/横机</x:v>
      </x:c>
      <x:c r="T32" s="17" t="str">
        <x:f>IF(P32="不合格","质检异常",IF(N32&lt;0,"负库存",IF(N32&lt;K32,"缺料",IF(AND(R32&lt;&gt;"",R32&lt;=DATE(2026,7,16),O32&lt;&gt;"已到齐"),"船期风险","正常"))))</x:f>
        <x:v>缺料</x:v>
      </x:c>
      <x:c r="U32" s="17" t="str">
        <x:f>IF(T32="缺料","采购确认到料/替代料",IF(T32="质检异常","质检判定/退换货",IF(T32="负库存","仓库复盘库存",IF(T32="船期风险","生产排产复核","按计划执行"))))</x:f>
        <x:v>采购确认到料/替代料</x:v>
      </x:c>
    </x:row>
    <x:row r="33">
      <x:c r="A33" s="17" t="str">
        <x:v>SO250809-343</x:v>
      </x:c>
      <x:c r="B33" s="17" t="str">
        <x:v>102439090005</x:v>
      </x:c>
      <x:c r="C33" s="17" t="str">
        <x:v>男士毛衣拼接中国结上衣</x:v>
      </x:c>
      <x:c r="D33" s="17" t="str">
        <x:v>国武</x:v>
      </x:c>
      <x:c r="E33" s="17" t="str">
        <x:v>纱线</x:v>
      </x:c>
      <x:c r="F33" s="17" t="str">
        <x:v>2/36麻纱线</x:v>
      </x:c>
      <x:c r="G33" s="17" t="str">
        <x:v>KG</x:v>
      </x:c>
      <x:c r="H33" s="18" t="n">
        <x:v>50</x:v>
      </x:c>
      <x:c r="I33" s="18" t="n">
        <x:v>0.72</x:v>
      </x:c>
      <x:c r="J33" s="19" t="n">
        <x:v>0.03</x:v>
      </x:c>
      <x:c r="K33" s="18" t="n">
        <x:f>IF(OR(H33="",I33=""),"",H33*I33*(1+J33))</x:f>
        <x:v>37.08</x:v>
      </x:c>
      <x:c r="L33" s="18" t="n">
        <x:v>20.394</x:v>
      </x:c>
      <x:c r="M33" s="18" t="n">
        <x:v>3.059</x:v>
      </x:c>
      <x:c r="N33" s="18" t="n">
        <x:f>IF(L33="","",L33-M33)</x:f>
        <x:v>17.334999999999997</x:v>
      </x:c>
      <x:c r="O33" s="17" t="str">
        <x:v>部分到料</x:v>
      </x:c>
      <x:c r="P33" s="17" t="str">
        <x:v>合格</x:v>
      </x:c>
      <x:c r="Q33" s="17" t="str">
        <x:v>横机</x:v>
      </x:c>
      <x:c r="R33" s="20" t="str">
        <x:v>2026-01-13</x:v>
      </x:c>
      <x:c r="S33" s="17" t="str">
        <x:v>生产/横机</x:v>
      </x:c>
      <x:c r="T33" s="17" t="str">
        <x:f>IF(P33="不合格","质检异常",IF(N33&lt;0,"负库存",IF(N33&lt;K33,"缺料",IF(AND(R33&lt;&gt;"",R33&lt;=DATE(2026,7,16),O33&lt;&gt;"已到齐"),"船期风险","正常"))))</x:f>
        <x:v>缺料</x:v>
      </x:c>
      <x:c r="U33" s="17" t="str">
        <x:f>IF(T33="缺料","采购确认到料/替代料",IF(T33="质检异常","质检判定/退换货",IF(T33="负库存","仓库复盘库存",IF(T33="船期风险","生产排产复核","按计划执行"))))</x:f>
        <x:v>采购确认到料/替代料</x:v>
      </x:c>
    </x:row>
    <x:row r="34">
      <x:c r="A34" s="17" t="str">
        <x:v>SO250811-349</x:v>
      </x:c>
      <x:c r="B34" s="17" t="str">
        <x:v>102439090006</x:v>
      </x:c>
      <x:c r="C34" s="17" t="str">
        <x:v>男士毛衣拼接上衣</x:v>
      </x:c>
      <x:c r="D34" s="17" t="str">
        <x:v>国武</x:v>
      </x:c>
      <x:c r="E34" s="17" t="str">
        <x:v>纱线</x:v>
      </x:c>
      <x:c r="F34" s="17" t="str">
        <x:v>2/36麻纱线</x:v>
      </x:c>
      <x:c r="G34" s="17" t="str">
        <x:v>M</x:v>
      </x:c>
      <x:c r="H34" s="18" t="n">
        <x:v>50</x:v>
      </x:c>
      <x:c r="I34" s="18" t="n">
        <x:v>0.955</x:v>
      </x:c>
      <x:c r="J34" s="19" t="n">
        <x:v>0.03</x:v>
      </x:c>
      <x:c r="K34" s="18" t="n">
        <x:f>IF(OR(H34="",I34=""),"",H34*I34*(1+J34))</x:f>
        <x:v>49.182500000000005</x:v>
      </x:c>
      <x:c r="L34" s="18" t="n">
        <x:v>49.183</x:v>
      </x:c>
      <x:c r="M34" s="18" t="n">
        <x:v>7.377</x:v>
      </x:c>
      <x:c r="N34" s="18" t="n">
        <x:f>IF(L34="","",L34-M34)</x:f>
        <x:v>41.806</x:v>
      </x:c>
      <x:c r="O34" s="17" t="str">
        <x:v>已到齐</x:v>
      </x:c>
      <x:c r="P34" s="17" t="str">
        <x:v>合格</x:v>
      </x:c>
      <x:c r="Q34" s="17" t="str">
        <x:v>横机</x:v>
      </x:c>
      <x:c r="R34" s="20" t="str">
        <x:v>2026-01-13</x:v>
      </x:c>
      <x:c r="S34" s="17" t="str">
        <x:v>生产/横机</x:v>
      </x:c>
      <x:c r="T34" s="17" t="str">
        <x:f>IF(P34="不合格","质检异常",IF(N34&lt;0,"负库存",IF(N34&lt;K34,"缺料",IF(AND(R34&lt;&gt;"",R34&lt;=DATE(2026,7,16),O34&lt;&gt;"已到齐"),"船期风险","正常"))))</x:f>
        <x:v>缺料</x:v>
      </x:c>
      <x:c r="U34" s="17" t="str">
        <x:f>IF(T34="缺料","采购确认到料/替代料",IF(T34="质检异常","质检判定/退换货",IF(T34="负库存","仓库复盘库存",IF(T34="船期风险","生产排产复核","按计划执行"))))</x:f>
        <x:v>采购确认到料/替代料</x:v>
      </x:c>
    </x:row>
    <x:row r="35">
      <x:c r="A35" s="17" t="str">
        <x:v>SO250811-349</x:v>
      </x:c>
      <x:c r="B35" s="17" t="str">
        <x:v>102439090006</x:v>
      </x:c>
      <x:c r="C35" s="17" t="str">
        <x:v>男士毛衣拼接上衣</x:v>
      </x:c>
      <x:c r="D35" s="17" t="str">
        <x:v>国武</x:v>
      </x:c>
      <x:c r="E35" s="17" t="str">
        <x:v>纱线</x:v>
      </x:c>
      <x:c r="F35" s="17" t="str">
        <x:v>2/36麻纱线</x:v>
      </x:c>
      <x:c r="G35" s="17" t="str">
        <x:v>KG</x:v>
      </x:c>
      <x:c r="H35" s="18" t="n">
        <x:v>50</x:v>
      </x:c>
      <x:c r="I35" s="18" t="n">
        <x:v>0.955</x:v>
      </x:c>
      <x:c r="J35" s="19" t="n">
        <x:v>0.03</x:v>
      </x:c>
      <x:c r="K35" s="18" t="n">
        <x:f>IF(OR(H35="",I35=""),"",H35*I35*(1+J35))</x:f>
        <x:v>49.182500000000005</x:v>
      </x:c>
      <x:c r="L35" s="18" t="n">
        <x:v>12.296</x:v>
      </x:c>
      <x:c r="M35" s="18" t="n">
        <x:v>5.533</x:v>
      </x:c>
      <x:c r="N35" s="18" t="n">
        <x:f>IF(L35="","",L35-M35)</x:f>
        <x:v>6.762999999999999</x:v>
      </x:c>
      <x:c r="O35" s="17" t="str">
        <x:v>部分到料</x:v>
      </x:c>
      <x:c r="P35" s="17" t="str">
        <x:v>合格</x:v>
      </x:c>
      <x:c r="Q35" s="17" t="str">
        <x:v>横机</x:v>
      </x:c>
      <x:c r="R35" s="20" t="str">
        <x:v>2026-01-13</x:v>
      </x:c>
      <x:c r="S35" s="17" t="str">
        <x:v>生产/横机</x:v>
      </x:c>
      <x:c r="T35" s="17" t="str">
        <x:f>IF(P35="不合格","质检异常",IF(N35&lt;0,"负库存",IF(N35&lt;K35,"缺料",IF(AND(R35&lt;&gt;"",R35&lt;=DATE(2026,7,16),O35&lt;&gt;"已到齐"),"船期风险","正常"))))</x:f>
        <x:v>缺料</x:v>
      </x:c>
      <x:c r="U35" s="17" t="str">
        <x:f>IF(T35="缺料","采购确认到料/替代料",IF(T35="质检异常","质检判定/退换货",IF(T35="负库存","仓库复盘库存",IF(T35="船期风险","生产排产复核","按计划执行"))))</x:f>
        <x:v>采购确认到料/替代料</x:v>
      </x:c>
    </x:row>
    <x:row r="36">
      <x:c r="A36" s="17" t="str">
        <x:v>SO250811-350</x:v>
      </x:c>
      <x:c r="B36" s="17" t="str">
        <x:v>1043390900068</x:v>
      </x:c>
      <x:c r="C36" s="17" t="str">
        <x:v>男士毛衣拼接长裤</x:v>
      </x:c>
      <x:c r="D36" s="17" t="str">
        <x:v>国武</x:v>
      </x:c>
      <x:c r="E36" s="17" t="str">
        <x:v>纱线</x:v>
      </x:c>
      <x:c r="F36" s="17" t="str">
        <x:v>2/36麻纱线</x:v>
      </x:c>
      <x:c r="G36" s="17" t="str">
        <x:v>KG</x:v>
      </x:c>
      <x:c r="H36" s="18" t="n">
        <x:v>50</x:v>
      </x:c>
      <x:c r="I36" s="18" t="n">
        <x:v>0.86</x:v>
      </x:c>
      <x:c r="J36" s="19" t="n">
        <x:v>0.03</x:v>
      </x:c>
      <x:c r="K36" s="18" t="n">
        <x:f>IF(OR(H36="",I36=""),"",H36*I36*(1+J36))</x:f>
        <x:v>44.29</x:v>
      </x:c>
      <x:c r="L36" s="18" t="n">
        <x:v>44.29</x:v>
      </x:c>
      <x:c r="M36" s="18" t="n">
        <x:v>6.643</x:v>
      </x:c>
      <x:c r="N36" s="18" t="n">
        <x:f>IF(L36="","",L36-M36)</x:f>
        <x:v>37.647</x:v>
      </x:c>
      <x:c r="O36" s="17" t="str">
        <x:v>已到齐</x:v>
      </x:c>
      <x:c r="P36" s="17" t="str">
        <x:v>合格</x:v>
      </x:c>
      <x:c r="Q36" s="17" t="str">
        <x:v>横机</x:v>
      </x:c>
      <x:c r="R36" s="20" t="str">
        <x:v>2026-01-13</x:v>
      </x:c>
      <x:c r="S36" s="17" t="str">
        <x:v>生产/横机</x:v>
      </x:c>
      <x:c r="T36" s="17" t="str">
        <x:f>IF(P36="不合格","质检异常",IF(N36&lt;0,"负库存",IF(N36&lt;K36,"缺料",IF(AND(R36&lt;&gt;"",R36&lt;=DATE(2026,7,16),O36&lt;&gt;"已到齐"),"船期风险","正常"))))</x:f>
        <x:v>缺料</x:v>
      </x:c>
      <x:c r="U36" s="17" t="str">
        <x:f>IF(T36="缺料","采购确认到料/替代料",IF(T36="质检异常","质检判定/退换货",IF(T36="负库存","仓库复盘库存",IF(T36="船期风险","生产排产复核","按计划执行"))))</x:f>
        <x:v>采购确认到料/替代料</x:v>
      </x:c>
    </x:row>
    <x:row r="37">
      <x:c r="A37" s="17" t="str">
        <x:v>SO250811-350</x:v>
      </x:c>
      <x:c r="B37" s="17" t="str">
        <x:v>1043390900068</x:v>
      </x:c>
      <x:c r="C37" s="17" t="str">
        <x:v>男士毛衣拼接长裤</x:v>
      </x:c>
      <x:c r="D37" s="17" t="str">
        <x:v>国武</x:v>
      </x:c>
      <x:c r="E37" s="17" t="str">
        <x:v>面料</x:v>
      </x:c>
      <x:c r="F37" s="17" t="str">
        <x:v>三维尔麻梭织布</x:v>
      </x:c>
      <x:c r="G37" s="17" t="str">
        <x:v>M</x:v>
      </x:c>
      <x:c r="H37" s="18" t="n">
        <x:v>50</x:v>
      </x:c>
      <x:c r="I37" s="18" t="n">
        <x:v>0.86</x:v>
      </x:c>
      <x:c r="J37" s="19" t="n">
        <x:v>0.05</x:v>
      </x:c>
      <x:c r="K37" s="18" t="n">
        <x:f>IF(OR(H37="",I37=""),"",H37*I37*(1+J37))</x:f>
        <x:v>45.15</x:v>
      </x:c>
      <x:c r="L37" s="18" t="n">
        <x:v>24.833</x:v>
      </x:c>
      <x:c r="M37" s="18" t="n">
        <x:v>3.725</x:v>
      </x:c>
      <x:c r="N37" s="18" t="n">
        <x:f>IF(L37="","",L37-M37)</x:f>
        <x:v>21.107999999999997</x:v>
      </x:c>
      <x:c r="O37" s="17" t="str">
        <x:v>部分到料</x:v>
      </x:c>
      <x:c r="P37" s="17" t="str">
        <x:v>合格</x:v>
      </x:c>
      <x:c r="Q37" s="17" t="str">
        <x:v>裁剪</x:v>
      </x:c>
      <x:c r="R37" s="20" t="str">
        <x:v>2026-01-13</x:v>
      </x:c>
      <x:c r="S37" s="17" t="str">
        <x:v>仓库/裁剪</x:v>
      </x:c>
      <x:c r="T37" s="17" t="str">
        <x:f>IF(P37="不合格","质检异常",IF(N37&lt;0,"负库存",IF(N37&lt;K37,"缺料",IF(AND(R37&lt;&gt;"",R37&lt;=DATE(2026,7,16),O37&lt;&gt;"已到齐"),"船期风险","正常"))))</x:f>
        <x:v>缺料</x:v>
      </x:c>
      <x:c r="U37" s="17" t="str">
        <x:f>IF(T37="缺料","采购确认到料/替代料",IF(T37="质检异常","质检判定/退换货",IF(T37="负库存","仓库复盘库存",IF(T37="船期风险","生产排产复核","按计划执行"))))</x:f>
        <x:v>采购确认到料/替代料</x:v>
      </x:c>
    </x:row>
    <x:row r="38">
      <x:c r="A38" s="17" t="str">
        <x:v>SO250811-350</x:v>
      </x:c>
      <x:c r="B38" s="17" t="str">
        <x:v>1043390900068</x:v>
      </x:c>
      <x:c r="C38" s="17" t="str">
        <x:v>男士毛衣拼接长裤</x:v>
      </x:c>
      <x:c r="D38" s="17" t="str">
        <x:v>国武</x:v>
      </x:c>
      <x:c r="E38" s="17" t="str">
        <x:v>纱线</x:v>
      </x:c>
      <x:c r="F38" s="17" t="str">
        <x:v>2/36麻纱线</x:v>
      </x:c>
      <x:c r="G38" s="17" t="str">
        <x:v>KG</x:v>
      </x:c>
      <x:c r="H38" s="18" t="n">
        <x:v>50</x:v>
      </x:c>
      <x:c r="I38" s="18" t="n">
        <x:v>0.86</x:v>
      </x:c>
      <x:c r="J38" s="19" t="n">
        <x:v>0.03</x:v>
      </x:c>
      <x:c r="K38" s="18" t="n">
        <x:f>IF(OR(H38="",I38=""),"",H38*I38*(1+J38))</x:f>
        <x:v>44.29</x:v>
      </x:c>
      <x:c r="L38" s="18" t="n">
        <x:v>44.29</x:v>
      </x:c>
      <x:c r="M38" s="18" t="n">
        <x:v>19.931</x:v>
      </x:c>
      <x:c r="N38" s="18" t="n">
        <x:f>IF(L38="","",L38-M38)</x:f>
        <x:v>24.358999999999998</x:v>
      </x:c>
      <x:c r="O38" s="17" t="str">
        <x:v>已到齐</x:v>
      </x:c>
      <x:c r="P38" s="17" t="str">
        <x:v>待检</x:v>
      </x:c>
      <x:c r="Q38" s="17" t="str">
        <x:v>横机</x:v>
      </x:c>
      <x:c r="R38" s="20" t="str">
        <x:v>2026-01-13</x:v>
      </x:c>
      <x:c r="S38" s="17" t="str">
        <x:v>生产/横机</x:v>
      </x:c>
      <x:c r="T38" s="17" t="str">
        <x:f>IF(P38="不合格","质检异常",IF(N38&lt;0,"负库存",IF(N38&lt;K38,"缺料",IF(AND(R38&lt;&gt;"",R38&lt;=DATE(2026,7,16),O38&lt;&gt;"已到齐"),"船期风险","正常"))))</x:f>
        <x:v>缺料</x:v>
      </x:c>
      <x:c r="U38" s="17" t="str">
        <x:f>IF(T38="缺料","采购确认到料/替代料",IF(T38="质检异常","质检判定/退换货",IF(T38="负库存","仓库复盘库存",IF(T38="船期风险","生产排产复核","按计划执行"))))</x:f>
        <x:v>采购确认到料/替代料</x:v>
      </x:c>
    </x:row>
    <x:row r="39">
      <x:c r="A39" s="17" t="str">
        <x:v>SO260318-1602</x:v>
      </x:c>
      <x:c r="B39" s="17" t="str">
        <x:v>102439090004</x:v>
      </x:c>
      <x:c r="C39" s="17" t="str">
        <x:v>男士毛衣拼接风帽衫</x:v>
      </x:c>
      <x:c r="D39" s="17" t="str">
        <x:v>国武</x:v>
      </x:c>
      <x:c r="E39" s="17" t="str">
        <x:v>纱线</x:v>
      </x:c>
      <x:c r="F39" s="17" t="str">
        <x:v>2/36麻纱线</x:v>
      </x:c>
      <x:c r="G39" s="17" t="str">
        <x:v>KG</x:v>
      </x:c>
      <x:c r="H39" s="18" t="n">
        <x:v>50</x:v>
      </x:c>
      <x:c r="I39" s="18" t="n">
        <x:v>0.96</x:v>
      </x:c>
      <x:c r="J39" s="19" t="n">
        <x:v>0.03</x:v>
      </x:c>
      <x:c r="K39" s="18" t="n">
        <x:f>IF(OR(H39="",I39=""),"",H39*I39*(1+J39))</x:f>
        <x:v>49.44</x:v>
      </x:c>
      <x:c r="L39" s="18" t="n">
        <x:v>49.44</x:v>
      </x:c>
      <x:c r="M39" s="18" t="n">
        <x:v>7.416</x:v>
      </x:c>
      <x:c r="N39" s="18" t="n">
        <x:f>IF(L39="","",L39-M39)</x:f>
        <x:v>42.024</x:v>
      </x:c>
      <x:c r="O39" s="17" t="str">
        <x:v>已到齐</x:v>
      </x:c>
      <x:c r="P39" s="17" t="str">
        <x:v>不合格</x:v>
      </x:c>
      <x:c r="Q39" s="17" t="str">
        <x:v>横机</x:v>
      </x:c>
      <x:c r="R39" s="20" t="str">
        <x:v>2026-01-13</x:v>
      </x:c>
      <x:c r="S39" s="17" t="str">
        <x:v>生产/横机</x:v>
      </x:c>
      <x:c r="T39" s="17" t="str">
        <x:f>IF(P39="不合格","质检异常",IF(N39&lt;0,"负库存",IF(N39&lt;K39,"缺料",IF(AND(R39&lt;&gt;"",R39&lt;=DATE(2026,7,16),O39&lt;&gt;"已到齐"),"船期风险","正常"))))</x:f>
        <x:v>质检异常</x:v>
      </x:c>
      <x:c r="U39" s="17" t="str">
        <x:f>IF(T39="缺料","采购确认到料/替代料",IF(T39="质检异常","质检判定/退换货",IF(T39="负库存","仓库复盘库存",IF(T39="船期风险","生产排产复核","按计划执行"))))</x:f>
        <x:v>质检判定/退换货</x:v>
      </x:c>
    </x:row>
    <x:row r="40">
      <x:c r="A40" s="17" t="str">
        <x:v>SO260318-1602</x:v>
      </x:c>
      <x:c r="B40" s="17" t="str">
        <x:v>102439090004</x:v>
      </x:c>
      <x:c r="C40" s="17" t="str">
        <x:v>男士毛衣拼接风帽衫</x:v>
      </x:c>
      <x:c r="D40" s="17" t="str">
        <x:v>国武</x:v>
      </x:c>
      <x:c r="E40" s="17" t="str">
        <x:v>纱线</x:v>
      </x:c>
      <x:c r="F40" s="17" t="str">
        <x:v>三维尔麻梭织布</x:v>
      </x:c>
      <x:c r="G40" s="17" t="str">
        <x:v>KG</x:v>
      </x:c>
      <x:c r="H40" s="18" t="n">
        <x:v>50</x:v>
      </x:c>
      <x:c r="I40" s="18" t="n">
        <x:v>0.96</x:v>
      </x:c>
      <x:c r="J40" s="19" t="n">
        <x:v>0.03</x:v>
      </x:c>
      <x:c r="K40" s="18" t="n">
        <x:f>IF(OR(H40="",I40=""),"",H40*I40*(1+J40))</x:f>
        <x:v>49.44</x:v>
      </x:c>
      <x:c r="L40" s="18" t="n">
        <x:v>12.36</x:v>
      </x:c>
      <x:c r="M40" s="18" t="n">
        <x:v>1.854</x:v>
      </x:c>
      <x:c r="N40" s="18" t="n">
        <x:f>IF(L40="","",L40-M40)</x:f>
        <x:v>10.506</x:v>
      </x:c>
      <x:c r="O40" s="17" t="str">
        <x:v>部分到料</x:v>
      </x:c>
      <x:c r="P40" s="17" t="str">
        <x:v>合格</x:v>
      </x:c>
      <x:c r="Q40" s="17" t="str">
        <x:v>横机</x:v>
      </x:c>
      <x:c r="R40" s="20" t="str">
        <x:v>2026-01-13</x:v>
      </x:c>
      <x:c r="S40" s="17" t="str">
        <x:v>生产/横机</x:v>
      </x:c>
      <x:c r="T40" s="17" t="str">
        <x:f>IF(P40="不合格","质检异常",IF(N40&lt;0,"负库存",IF(N40&lt;K40,"缺料",IF(AND(R40&lt;&gt;"",R40&lt;=DATE(2026,7,16),O40&lt;&gt;"已到齐"),"船期风险","正常"))))</x:f>
        <x:v>缺料</x:v>
      </x:c>
      <x:c r="U40" s="17" t="str">
        <x:f>IF(T40="缺料","采购确认到料/替代料",IF(T40="质检异常","质检判定/退换货",IF(T40="负库存","仓库复盘库存",IF(T40="船期风险","生产排产复核","按计划执行"))))</x:f>
        <x:v>采购确认到料/替代料</x:v>
      </x:c>
    </x:row>
    <x:row r="41">
      <x:c r="A41" s="17" t="str">
        <x:v>SO250811-347</x:v>
      </x:c>
      <x:c r="B41" s="17" t="str">
        <x:v>1080390900003</x:v>
      </x:c>
      <x:c r="C41" s="17" t="str">
        <x:v>毛衣拼接围巾</x:v>
      </x:c>
      <x:c r="D41" s="17" t="str">
        <x:v>国武</x:v>
      </x:c>
      <x:c r="E41" s="17" t="str">
        <x:v>纱线</x:v>
      </x:c>
      <x:c r="F41" s="17" t="str">
        <x:v>2/36麻纱线</x:v>
      </x:c>
      <x:c r="G41" s="17" t="str">
        <x:v>KG</x:v>
      </x:c>
      <x:c r="H41" s="18" t="n">
        <x:v>50</x:v>
      </x:c>
      <x:c r="I41" s="18" t="n">
        <x:v>0.15</x:v>
      </x:c>
      <x:c r="J41" s="19" t="n">
        <x:v>0.03</x:v>
      </x:c>
      <x:c r="K41" s="18" t="n">
        <x:f>IF(OR(H41="",I41=""),"",H41*I41*(1+J41))</x:f>
        <x:v>7.7250000000000005</x:v>
      </x:c>
      <x:c r="L41" s="18" t="n">
        <x:v>4.249</x:v>
      </x:c>
      <x:c r="M41" s="18" t="n">
        <x:v>1.912</x:v>
      </x:c>
      <x:c r="N41" s="18" t="n">
        <x:f>IF(L41="","",L41-M41)</x:f>
        <x:v>2.3369999999999997</x:v>
      </x:c>
      <x:c r="O41" s="17" t="str">
        <x:v>部分到料</x:v>
      </x:c>
      <x:c r="P41" s="17" t="str">
        <x:v>合格</x:v>
      </x:c>
      <x:c r="Q41" s="17" t="str">
        <x:v>横机</x:v>
      </x:c>
      <x:c r="R41" s="20" t="str">
        <x:v>2026-01-30</x:v>
      </x:c>
      <x:c r="S41" s="17" t="str">
        <x:v>生产/横机</x:v>
      </x:c>
      <x:c r="T41" s="17" t="str">
        <x:f>IF(P41="不合格","质检异常",IF(N41&lt;0,"负库存",IF(N41&lt;K41,"缺料",IF(AND(R41&lt;&gt;"",R41&lt;=DATE(2026,7,16),O41&lt;&gt;"已到齐"),"船期风险","正常"))))</x:f>
        <x:v>缺料</x:v>
      </x:c>
      <x:c r="U41" s="17" t="str">
        <x:f>IF(T41="缺料","采购确认到料/替代料",IF(T41="质检异常","质检判定/退换货",IF(T41="负库存","仓库复盘库存",IF(T41="船期风险","生产排产复核","按计划执行"))))</x:f>
        <x:v>采购确认到料/替代料</x:v>
      </x:c>
    </x:row>
    <x:row r="42">
      <x:c r="A42" s="17" t="str">
        <x:v>SO251206-1103</x:v>
      </x:c>
      <x:c r="B42" s="17" t="str">
        <x:v>51P13-713</x:v>
      </x:c>
      <x:c r="C42" s="17" t="str">
        <x:v>男士针织拼接T恤</x:v>
      </x:c>
      <x:c r="D42" s="17" t="str">
        <x:v>船木</x:v>
      </x:c>
      <x:c r="E42" s="17" t="str">
        <x:v>面料</x:v>
      </x:c>
      <x:c r="F42" s="17" t="str">
        <x:v>150D全涤线</x:v>
      </x:c>
      <x:c r="G42" s="17" t="str">
        <x:v>M</x:v>
      </x:c>
      <x:c r="H42" s="18" t="n">
        <x:v>1400</x:v>
      </x:c>
      <x:c r="I42" s="18" t="n">
        <x:v>0.06</x:v>
      </x:c>
      <x:c r="J42" s="19" t="n">
        <x:v>0.05</x:v>
      </x:c>
      <x:c r="K42" s="18" t="n">
        <x:f>IF(OR(H42="",I42=""),"",H42*I42*(1+J42))</x:f>
        <x:v>88.2</x:v>
      </x:c>
      <x:c r="L42" s="18" t="n">
        <x:v>88.2</x:v>
      </x:c>
      <x:c r="M42" s="18" t="n">
        <x:v>13.23</x:v>
      </x:c>
      <x:c r="N42" s="18" t="n">
        <x:f>IF(L42="","",L42-M42)</x:f>
        <x:v>74.97</x:v>
      </x:c>
      <x:c r="O42" s="17" t="str">
        <x:v>已到齐</x:v>
      </x:c>
      <x:c r="P42" s="17" t="str">
        <x:v>合格</x:v>
      </x:c>
      <x:c r="Q42" s="17" t="str">
        <x:v>裁剪</x:v>
      </x:c>
      <x:c r="R42" s="20" t="str">
        <x:v>2026-01-27</x:v>
      </x:c>
      <x:c r="S42" s="17" t="str">
        <x:v>仓库/裁剪</x:v>
      </x:c>
      <x:c r="T42" s="17" t="str">
        <x:f>IF(P42="不合格","质检异常",IF(N42&lt;0,"负库存",IF(N42&lt;K42,"缺料",IF(AND(R42&lt;&gt;"",R42&lt;=DATE(2026,7,16),O42&lt;&gt;"已到齐"),"船期风险","正常"))))</x:f>
        <x:v>缺料</x:v>
      </x:c>
      <x:c r="U42" s="17" t="str">
        <x:f>IF(T42="缺料","采购确认到料/替代料",IF(T42="质检异常","质检判定/退换货",IF(T42="负库存","仓库复盘库存",IF(T42="船期风险","生产排产复核","按计划执行"))))</x:f>
        <x:v>采购确认到料/替代料</x:v>
      </x:c>
    </x:row>
    <x:row r="43">
      <x:c r="A43" s="17" t="str">
        <x:v>SO251206-1103</x:v>
      </x:c>
      <x:c r="B43" s="17" t="str">
        <x:v>51P13-713</x:v>
      </x:c>
      <x:c r="C43" s="17" t="str">
        <x:v>男士针织拼接T恤</x:v>
      </x:c>
      <x:c r="D43" s="17" t="str">
        <x:v>船木</x:v>
      </x:c>
      <x:c r="E43" s="17" t="str">
        <x:v>纱线</x:v>
      </x:c>
      <x:c r="F43" s="17" t="str">
        <x:v>丝光广东棉毛布</x:v>
      </x:c>
      <x:c r="G43" s="17" t="str">
        <x:v>KG</x:v>
      </x:c>
      <x:c r="H43" s="18" t="n">
        <x:v>1400</x:v>
      </x:c>
      <x:c r="I43" s="18" t="n">
        <x:v>0.44</x:v>
      </x:c>
      <x:c r="J43" s="19" t="n">
        <x:v>0.03</x:v>
      </x:c>
      <x:c r="K43" s="18" t="n">
        <x:f>IF(OR(H43="",I43=""),"",H43*I43*(1+J43))</x:f>
        <x:v>634.48</x:v>
      </x:c>
      <x:c r="L43" s="18" t="n">
        <x:v>634.48</x:v>
      </x:c>
      <x:c r="M43" s="18" t="n">
        <x:v>95.172</x:v>
      </x:c>
      <x:c r="N43" s="18" t="n">
        <x:f>IF(L43="","",L43-M43)</x:f>
        <x:v>539.308</x:v>
      </x:c>
      <x:c r="O43" s="17" t="str">
        <x:v>已到齐</x:v>
      </x:c>
      <x:c r="P43" s="17" t="str">
        <x:v>合格</x:v>
      </x:c>
      <x:c r="Q43" s="17" t="str">
        <x:v>横机</x:v>
      </x:c>
      <x:c r="R43" s="20" t="str">
        <x:v>2026-01-27</x:v>
      </x:c>
      <x:c r="S43" s="17" t="str">
        <x:v>生产/横机</x:v>
      </x:c>
      <x:c r="T43" s="17" t="str">
        <x:f>IF(P43="不合格","质检异常",IF(N43&lt;0,"负库存",IF(N43&lt;K43,"缺料",IF(AND(R43&lt;&gt;"",R43&lt;=DATE(2026,7,16),O43&lt;&gt;"已到齐"),"船期风险","正常"))))</x:f>
        <x:v>缺料</x:v>
      </x:c>
      <x:c r="U43" s="17" t="str">
        <x:f>IF(T43="缺料","采购确认到料/替代料",IF(T43="质检异常","质检判定/退换货",IF(T43="负库存","仓库复盘库存",IF(T43="船期风险","生产排产复核","按计划执行"))))</x:f>
        <x:v>采购确认到料/替代料</x:v>
      </x:c>
    </x:row>
    <x:row r="44">
      <x:c r="A44" s="17" t="str">
        <x:v>SO250819-379</x:v>
      </x:c>
      <x:c r="B44" s="17" t="str">
        <x:v>3612-1-000026</x:v>
      </x:c>
      <x:c r="C44" s="17" t="str">
        <x:v>女士成衣染色套头衫</x:v>
      </x:c>
      <x:c r="D44" s="17" t="str">
        <x:v>渡边</x:v>
      </x:c>
      <x:c r="E44" s="17" t="str">
        <x:v>面料</x:v>
      </x:c>
      <x:c r="F44" s="17" t="str">
        <x:v>面料F04411</x:v>
      </x:c>
      <x:c r="G44" s="17" t="str">
        <x:v>M</x:v>
      </x:c>
      <x:c r="H44" s="18" t="n">
        <x:v>2000</x:v>
      </x:c>
      <x:c r="I44" s="18" t="n">
        <x:v>0.85</x:v>
      </x:c>
      <x:c r="J44" s="19" t="n">
        <x:v>0.05</x:v>
      </x:c>
      <x:c r="K44" s="18" t="n">
        <x:f>IF(OR(H44="",I44=""),"",H44*I44*(1+J44))</x:f>
        <x:v>1785</x:v>
      </x:c>
      <x:c r="L44" s="18" t="n">
        <x:v>1785</x:v>
      </x:c>
      <x:c r="M44" s="18" t="n">
        <x:v>803.25</x:v>
      </x:c>
      <x:c r="N44" s="18" t="n">
        <x:f>IF(L44="","",L44-M44)</x:f>
        <x:v>981.75</x:v>
      </x:c>
      <x:c r="O44" s="17" t="str">
        <x:v>已到齐</x:v>
      </x:c>
      <x:c r="P44" s="17" t="str">
        <x:v>合格</x:v>
      </x:c>
      <x:c r="Q44" s="17" t="str">
        <x:v>裁剪</x:v>
      </x:c>
      <x:c r="R44" s="20" t="str">
        <x:v>2026-01-12</x:v>
      </x:c>
      <x:c r="S44" s="17" t="str">
        <x:v>仓库/裁剪</x:v>
      </x:c>
      <x:c r="T44" s="17" t="str">
        <x:f>IF(P44="不合格","质检异常",IF(N44&lt;0,"负库存",IF(N44&lt;K44,"缺料",IF(AND(R44&lt;&gt;"",R44&lt;=DATE(2026,7,16),O44&lt;&gt;"已到齐"),"船期风险","正常"))))</x:f>
        <x:v>缺料</x:v>
      </x:c>
      <x:c r="U44" s="17" t="str">
        <x:f>IF(T44="缺料","采购确认到料/替代料",IF(T44="质检异常","质检判定/退换货",IF(T44="负库存","仓库复盘库存",IF(T44="船期风险","生产排产复核","按计划执行"))))</x:f>
        <x:v>采购确认到料/替代料</x:v>
      </x:c>
    </x:row>
    <x:row r="45">
      <x:c r="A45" s="17" t="str">
        <x:v>SO250819-379</x:v>
      </x:c>
      <x:c r="B45" s="17" t="str">
        <x:v>3612-1-000026</x:v>
      </x:c>
      <x:c r="C45" s="17" t="str">
        <x:v>女士成衣染色套头衫</x:v>
      </x:c>
      <x:c r="D45" s="17" t="str">
        <x:v>渡边</x:v>
      </x:c>
      <x:c r="E45" s="17" t="str">
        <x:v>面料</x:v>
      </x:c>
      <x:c r="F45" s="17" t="str">
        <x:v>2*2罗文面料</x:v>
      </x:c>
      <x:c r="G45" s="17" t="str">
        <x:v>M</x:v>
      </x:c>
      <x:c r="H45" s="18" t="n">
        <x:v>2000</x:v>
      </x:c>
      <x:c r="I45" s="18" t="n">
        <x:v>0.29</x:v>
      </x:c>
      <x:c r="J45" s="19" t="n">
        <x:v>0.05</x:v>
      </x:c>
      <x:c r="K45" s="18" t="n">
        <x:f>IF(OR(H45="",I45=""),"",H45*I45*(1+J45))</x:f>
        <x:v>609</x:v>
      </x:c>
      <x:c r="L45" s="18" t="n">
        <x:v>152.25</x:v>
      </x:c>
      <x:c r="M45" s="18" t="n">
        <x:v>22.838</x:v>
      </x:c>
      <x:c r="N45" s="18" t="n">
        <x:f>IF(L45="","",L45-M45)</x:f>
        <x:v>129.412</x:v>
      </x:c>
      <x:c r="O45" s="17" t="str">
        <x:v>部分到料</x:v>
      </x:c>
      <x:c r="P45" s="17" t="str">
        <x:v>合格</x:v>
      </x:c>
      <x:c r="Q45" s="17" t="str">
        <x:v>裁剪</x:v>
      </x:c>
      <x:c r="R45" s="20" t="str">
        <x:v>2026-01-12</x:v>
      </x:c>
      <x:c r="S45" s="17" t="str">
        <x:v>仓库/裁剪</x:v>
      </x:c>
      <x:c r="T45" s="17" t="str">
        <x:f>IF(P45="不合格","质检异常",IF(N45&lt;0,"负库存",IF(N45&lt;K45,"缺料",IF(AND(R45&lt;&gt;"",R45&lt;=DATE(2026,7,16),O45&lt;&gt;"已到齐"),"船期风险","正常"))))</x:f>
        <x:v>缺料</x:v>
      </x:c>
      <x:c r="U45" s="17" t="str">
        <x:f>IF(T45="缺料","采购确认到料/替代料",IF(T45="质检异常","质检判定/退换货",IF(T45="负库存","仓库复盘库存",IF(T45="船期风险","生产排产复核","按计划执行"))))</x:f>
        <x:v>采购确认到料/替代料</x:v>
      </x:c>
    </x:row>
    <x:row r="46">
      <x:c r="A46" s="17" t="str">
        <x:v>SO250819-383</x:v>
      </x:c>
      <x:c r="B46" s="17" t="str">
        <x:v>3612-1-000027</x:v>
      </x:c>
      <x:c r="C46" s="17" t="str">
        <x:v>成衣染色POLO衫</x:v>
      </x:c>
      <x:c r="D46" s="17" t="str">
        <x:v>渡边</x:v>
      </x:c>
      <x:c r="E46" s="17" t="str">
        <x:v>面料</x:v>
      </x:c>
      <x:c r="F46" s="17" t="str">
        <x:v>面料F04411</x:v>
      </x:c>
      <x:c r="G46" s="17" t="str">
        <x:v>M</x:v>
      </x:c>
      <x:c r="H46" s="18" t="n">
        <x:v>800</x:v>
      </x:c>
      <x:c r="I46" s="18" t="n">
        <x:v>0.91</x:v>
      </x:c>
      <x:c r="J46" s="19" t="n">
        <x:v>0.05</x:v>
      </x:c>
      <x:c r="K46" s="18" t="n">
        <x:f>IF(OR(H46="",I46=""),"",H46*I46*(1+J46))</x:f>
        <x:v>764.4</x:v>
      </x:c>
      <x:c r="L46" s="18" t="n">
        <x:v>764.4</x:v>
      </x:c>
      <x:c r="M46" s="18" t="n">
        <x:v>114.66</x:v>
      </x:c>
      <x:c r="N46" s="18" t="n">
        <x:f>IF(L46="","",L46-M46)</x:f>
        <x:v>649.74</x:v>
      </x:c>
      <x:c r="O46" s="17" t="str">
        <x:v>已到齐</x:v>
      </x:c>
      <x:c r="P46" s="17" t="str">
        <x:v>合格</x:v>
      </x:c>
      <x:c r="Q46" s="17" t="str">
        <x:v>裁剪</x:v>
      </x:c>
      <x:c r="R46" s="20" t="str">
        <x:v>2026-01-12</x:v>
      </x:c>
      <x:c r="S46" s="17" t="str">
        <x:v>仓库/裁剪</x:v>
      </x:c>
      <x:c r="T46" s="17" t="str">
        <x:f>IF(P46="不合格","质检异常",IF(N46&lt;0,"负库存",IF(N46&lt;K46,"缺料",IF(AND(R46&lt;&gt;"",R46&lt;=DATE(2026,7,16),O46&lt;&gt;"已到齐"),"船期风险","正常"))))</x:f>
        <x:v>缺料</x:v>
      </x:c>
      <x:c r="U46" s="17" t="str">
        <x:f>IF(T46="缺料","采购确认到料/替代料",IF(T46="质检异常","质检判定/退换货",IF(T46="负库存","仓库复盘库存",IF(T46="船期风险","生产排产复核","按计划执行"))))</x:f>
        <x:v>采购确认到料/替代料</x:v>
      </x:c>
    </x:row>
    <x:row r="47">
      <x:c r="A47" s="17" t="str">
        <x:v>SO250819-383</x:v>
      </x:c>
      <x:c r="B47" s="17" t="str">
        <x:v>3612-1-000027</x:v>
      </x:c>
      <x:c r="C47" s="17" t="str">
        <x:v>成衣染色POLO衫</x:v>
      </x:c>
      <x:c r="D47" s="17" t="str">
        <x:v>渡边</x:v>
      </x:c>
      <x:c r="E47" s="17" t="str">
        <x:v>面料</x:v>
      </x:c>
      <x:c r="F47" s="17" t="str">
        <x:v>2*2棉氨纶螺纹</x:v>
      </x:c>
      <x:c r="G47" s="17" t="str">
        <x:v>M</x:v>
      </x:c>
      <x:c r="H47" s="18" t="n">
        <x:v>800</x:v>
      </x:c>
      <x:c r="I47" s="18" t="n">
        <x:v>0.27</x:v>
      </x:c>
      <x:c r="J47" s="19" t="n">
        <x:v>0.05</x:v>
      </x:c>
      <x:c r="K47" s="18" t="n">
        <x:f>IF(OR(H47="",I47=""),"",H47*I47*(1+J47))</x:f>
        <x:v>226.8</x:v>
      </x:c>
      <x:c r="L47" s="18" t="n">
        <x:v>226.8</x:v>
      </x:c>
      <x:c r="M47" s="18" t="n">
        <x:v>102.06</x:v>
      </x:c>
      <x:c r="N47" s="18" t="n">
        <x:f>IF(L47="","",L47-M47)</x:f>
        <x:v>124.74000000000001</x:v>
      </x:c>
      <x:c r="O47" s="17" t="str">
        <x:v>已到齐</x:v>
      </x:c>
      <x:c r="P47" s="17" t="str">
        <x:v>合格</x:v>
      </x:c>
      <x:c r="Q47" s="17" t="str">
        <x:v>裁剪</x:v>
      </x:c>
      <x:c r="R47" s="20" t="str">
        <x:v>2026-01-12</x:v>
      </x:c>
      <x:c r="S47" s="17" t="str">
        <x:v>仓库/裁剪</x:v>
      </x:c>
      <x:c r="T47" s="17" t="str">
        <x:f>IF(P47="不合格","质检异常",IF(N47&lt;0,"负库存",IF(N47&lt;K47,"缺料",IF(AND(R47&lt;&gt;"",R47&lt;=DATE(2026,7,16),O47&lt;&gt;"已到齐"),"船期风险","正常"))))</x:f>
        <x:v>缺料</x:v>
      </x:c>
      <x:c r="U47" s="17" t="str">
        <x:f>IF(T47="缺料","采购确认到料/替代料",IF(T47="质检异常","质检判定/退换货",IF(T47="负库存","仓库复盘库存",IF(T47="船期风险","生产排产复核","按计划执行"))))</x:f>
        <x:v>采购确认到料/替代料</x:v>
      </x:c>
    </x:row>
    <x:row r="48">
      <x:c r="A48" s="17" t="str">
        <x:v>SO250819-383</x:v>
      </x:c>
      <x:c r="B48" s="17" t="str">
        <x:v>3612-1-000027</x:v>
      </x:c>
      <x:c r="C48" s="17" t="str">
        <x:v>成衣染色POLO衫</x:v>
      </x:c>
      <x:c r="D48" s="17" t="str">
        <x:v>渡边</x:v>
      </x:c>
      <x:c r="E48" s="17" t="str">
        <x:v>纱线</x:v>
      </x:c>
      <x:c r="F48" s="17" t="str">
        <x:v>全棉纱线</x:v>
      </x:c>
      <x:c r="G48" s="17" t="str">
        <x:v>M</x:v>
      </x:c>
      <x:c r="H48" s="18" t="n">
        <x:v>800</x:v>
      </x:c>
      <x:c r="I48" s="18" t="n">
        <x:v>0.91</x:v>
      </x:c>
      <x:c r="J48" s="19" t="n">
        <x:v>0.03</x:v>
      </x:c>
      <x:c r="K48" s="18" t="n">
        <x:f>IF(OR(H48="",I48=""),"",H48*I48*(1+J48))</x:f>
        <x:v>749.84</x:v>
      </x:c>
      <x:c r="L48" s="18" t="n">
        <x:v>749.84</x:v>
      </x:c>
      <x:c r="M48" s="18" t="n">
        <x:v>112.476</x:v>
      </x:c>
      <x:c r="N48" s="18" t="n">
        <x:f>IF(L48="","",L48-M48)</x:f>
        <x:v>637.364</x:v>
      </x:c>
      <x:c r="O48" s="17" t="str">
        <x:v>已到齐</x:v>
      </x:c>
      <x:c r="P48" s="17" t="str">
        <x:v>合格</x:v>
      </x:c>
      <x:c r="Q48" s="17" t="str">
        <x:v>横机</x:v>
      </x:c>
      <x:c r="R48" s="20" t="str">
        <x:v>2026-01-12</x:v>
      </x:c>
      <x:c r="S48" s="17" t="str">
        <x:v>生产/横机</x:v>
      </x:c>
      <x:c r="T48" s="17" t="str">
        <x:f>IF(P48="不合格","质检异常",IF(N48&lt;0,"负库存",IF(N48&lt;K48,"缺料",IF(AND(R48&lt;&gt;"",R48&lt;=DATE(2026,7,16),O48&lt;&gt;"已到齐"),"船期风险","正常"))))</x:f>
        <x:v>缺料</x:v>
      </x:c>
      <x:c r="U48" s="17" t="str">
        <x:f>IF(T48="缺料","采购确认到料/替代料",IF(T48="质检异常","质检判定/退换货",IF(T48="负库存","仓库复盘库存",IF(T48="船期风险","生产排产复核","按计划执行"))))</x:f>
        <x:v>采购确认到料/替代料</x:v>
      </x:c>
    </x:row>
    <x:row r="49">
      <x:c r="A49" s="17" t="str">
        <x:v>SO250819-383</x:v>
      </x:c>
      <x:c r="B49" s="17" t="str">
        <x:v>3612-1-000027</x:v>
      </x:c>
      <x:c r="C49" s="17" t="str">
        <x:v>成衣染色POLO衫</x:v>
      </x:c>
      <x:c r="D49" s="17" t="str">
        <x:v>渡边</x:v>
      </x:c>
      <x:c r="E49" s="17" t="str">
        <x:v>面料</x:v>
      </x:c>
      <x:c r="F49" s="17" t="str">
        <x:v>面料F00130A</x:v>
      </x:c>
      <x:c r="G49" s="17" t="str">
        <x:v>M</x:v>
      </x:c>
      <x:c r="H49" s="18" t="n">
        <x:v>800</x:v>
      </x:c>
      <x:c r="I49" s="18" t="n">
        <x:v>0.91</x:v>
      </x:c>
      <x:c r="J49" s="19" t="n">
        <x:v>0.05</x:v>
      </x:c>
      <x:c r="K49" s="18" t="n">
        <x:f>IF(OR(H49="",I49=""),"",H49*I49*(1+J49))</x:f>
        <x:v>764.4</x:v>
      </x:c>
      <x:c r="L49" s="18" t="n">
        <x:v>420.42</x:v>
      </x:c>
      <x:c r="M49" s="18" t="n">
        <x:v>63.063</x:v>
      </x:c>
      <x:c r="N49" s="18" t="n">
        <x:f>IF(L49="","",L49-M49)</x:f>
        <x:v>357.357</x:v>
      </x:c>
      <x:c r="O49" s="17" t="str">
        <x:v>部分到料</x:v>
      </x:c>
      <x:c r="P49" s="17" t="str">
        <x:v>待检</x:v>
      </x:c>
      <x:c r="Q49" s="17" t="str">
        <x:v>裁剪</x:v>
      </x:c>
      <x:c r="R49" s="20" t="str">
        <x:v>2026-01-12</x:v>
      </x:c>
      <x:c r="S49" s="17" t="str">
        <x:v>仓库/裁剪</x:v>
      </x:c>
      <x:c r="T49" s="17" t="str">
        <x:f>IF(P49="不合格","质检异常",IF(N49&lt;0,"负库存",IF(N49&lt;K49,"缺料",IF(AND(R49&lt;&gt;"",R49&lt;=DATE(2026,7,16),O49&lt;&gt;"已到齐"),"船期风险","正常"))))</x:f>
        <x:v>缺料</x:v>
      </x:c>
      <x:c r="U49" s="17" t="str">
        <x:f>IF(T49="缺料","采购确认到料/替代料",IF(T49="质检异常","质检判定/退换货",IF(T49="负库存","仓库复盘库存",IF(T49="船期风险","生产排产复核","按计划执行"))))</x:f>
        <x:v>采购确认到料/替代料</x:v>
      </x:c>
    </x:row>
    <x:row r="50">
      <x:c r="A50" s="17" t="str">
        <x:v>SO251021-732</x:v>
      </x:c>
      <x:c r="B50" s="17" t="str">
        <x:v>J1P83-020</x:v>
      </x:c>
      <x:c r="C50" s="17" t="str">
        <x:v>男士针织长袖T恤</x:v>
      </x:c>
      <x:c r="D50" s="17" t="str">
        <x:v>船木</x:v>
      </x:c>
      <x:c r="E50" s="17" t="str">
        <x:v>面料</x:v>
      </x:c>
      <x:c r="F50" s="17" t="str">
        <x:v>罗文</x:v>
      </x:c>
      <x:c r="G50" s="17" t="str">
        <x:v>M</x:v>
      </x:c>
      <x:c r="H50" s="18" t="n">
        <x:v>550</x:v>
      </x:c>
      <x:c r="I50" s="18" t="n">
        <x:v>0.04</x:v>
      </x:c>
      <x:c r="J50" s="19" t="n">
        <x:v>0.05</x:v>
      </x:c>
      <x:c r="K50" s="18" t="n">
        <x:f>IF(OR(H50="",I50=""),"",H50*I50*(1+J50))</x:f>
        <x:v>23.1</x:v>
      </x:c>
      <x:c r="L50" s="18" t="n">
        <x:v>5.775</x:v>
      </x:c>
      <x:c r="M50" s="18" t="n">
        <x:v>2.599</x:v>
      </x:c>
      <x:c r="N50" s="18" t="n">
        <x:f>IF(L50="","",L50-M50)</x:f>
        <x:v>3.176</x:v>
      </x:c>
      <x:c r="O50" s="17" t="str">
        <x:v>部分到料</x:v>
      </x:c>
      <x:c r="P50" s="17" t="str">
        <x:v>合格</x:v>
      </x:c>
      <x:c r="Q50" s="17" t="str">
        <x:v>裁剪</x:v>
      </x:c>
      <x:c r="R50" s="20" t="str">
        <x:v>2026-01-30</x:v>
      </x:c>
      <x:c r="S50" s="17" t="str">
        <x:v>仓库/裁剪</x:v>
      </x:c>
      <x:c r="T50" s="17" t="str">
        <x:f>IF(P50="不合格","质检异常",IF(N50&lt;0,"负库存",IF(N50&lt;K50,"缺料",IF(AND(R50&lt;&gt;"",R50&lt;=DATE(2026,7,16),O50&lt;&gt;"已到齐"),"船期风险","正常"))))</x:f>
        <x:v>缺料</x:v>
      </x:c>
      <x:c r="U50" s="17" t="str">
        <x:f>IF(T50="缺料","采购确认到料/替代料",IF(T50="质检异常","质检判定/退换货",IF(T50="负库存","仓库复盘库存",IF(T50="船期风险","生产排产复核","按计划执行"))))</x:f>
        <x:v>采购确认到料/替代料</x:v>
      </x:c>
    </x:row>
    <x:row r="51">
      <x:c r="A51" s="17" t="str">
        <x:v>SO251021-732</x:v>
      </x:c>
      <x:c r="B51" s="17" t="str">
        <x:v>J1P83-020</x:v>
      </x:c>
      <x:c r="C51" s="17" t="str">
        <x:v>男士针织长袖T恤</x:v>
      </x:c>
      <x:c r="D51" s="17" t="str">
        <x:v>船木</x:v>
      </x:c>
      <x:c r="E51" s="17" t="str">
        <x:v>纱线</x:v>
      </x:c>
      <x:c r="F51" s="17" t="str">
        <x:v>棉毛布</x:v>
      </x:c>
      <x:c r="G51" s="17" t="str">
        <x:v>M</x:v>
      </x:c>
      <x:c r="H51" s="18" t="n">
        <x:v>550</x:v>
      </x:c>
      <x:c r="I51" s="18" t="n">
        <x:v>0.94</x:v>
      </x:c>
      <x:c r="J51" s="19" t="n">
        <x:v>0.03</x:v>
      </x:c>
      <x:c r="K51" s="18" t="n">
        <x:f>IF(OR(H51="",I51=""),"",H51*I51*(1+J51))</x:f>
        <x:v>532.51</x:v>
      </x:c>
      <x:c r="L51" s="18" t="n">
        <x:v>532.51</x:v>
      </x:c>
      <x:c r="M51" s="18" t="n">
        <x:v>79.877</x:v>
      </x:c>
      <x:c r="N51" s="18" t="n">
        <x:f>IF(L51="","",L51-M51)</x:f>
        <x:v>452.633</x:v>
      </x:c>
      <x:c r="O51" s="17" t="str">
        <x:v>已到齐</x:v>
      </x:c>
      <x:c r="P51" s="17" t="str">
        <x:v>合格</x:v>
      </x:c>
      <x:c r="Q51" s="17" t="str">
        <x:v>横机</x:v>
      </x:c>
      <x:c r="R51" s="20" t="str">
        <x:v>2026-01-30</x:v>
      </x:c>
      <x:c r="S51" s="17" t="str">
        <x:v>生产/横机</x:v>
      </x:c>
      <x:c r="T51" s="17" t="str">
        <x:f>IF(P51="不合格","质检异常",IF(N51&lt;0,"负库存",IF(N51&lt;K51,"缺料",IF(AND(R51&lt;&gt;"",R51&lt;=DATE(2026,7,16),O51&lt;&gt;"已到齐"),"船期风险","正常"))))</x:f>
        <x:v>缺料</x:v>
      </x:c>
      <x:c r="U51" s="17" t="str">
        <x:f>IF(T51="缺料","采购确认到料/替代料",IF(T51="质检异常","质检判定/退换货",IF(T51="负库存","仓库复盘库存",IF(T51="船期风险","生产排产复核","按计划执行"))))</x:f>
        <x:v>采购确认到料/替代料</x:v>
      </x:c>
    </x:row>
    <x:row r="52">
      <x:c r="A52" s="17" t="str">
        <x:v>SO251021-733</x:v>
      </x:c>
      <x:c r="B52" s="17" t="str">
        <x:v>J1P85-020</x:v>
      </x:c>
      <x:c r="C52" s="17" t="str">
        <x:v>男士针织V领T恤</x:v>
      </x:c>
      <x:c r="D52" s="17" t="str">
        <x:v>船木</x:v>
      </x:c>
      <x:c r="E52" s="17" t="str">
        <x:v>面料</x:v>
      </x:c>
      <x:c r="F52" s="17" t="str">
        <x:v>罗文</x:v>
      </x:c>
      <x:c r="G52" s="17" t="str">
        <x:v>M</x:v>
      </x:c>
      <x:c r="H52" s="18" t="n">
        <x:v>600</x:v>
      </x:c>
      <x:c r="I52" s="18" t="n">
        <x:v>0.05</x:v>
      </x:c>
      <x:c r="J52" s="19" t="n">
        <x:v>0.05</x:v>
      </x:c>
      <x:c r="K52" s="18" t="n">
        <x:f>IF(OR(H52="",I52=""),"",H52*I52*(1+J52))</x:f>
        <x:v>31.5</x:v>
      </x:c>
      <x:c r="L52" s="18" t="n">
        <x:v>31.5</x:v>
      </x:c>
      <x:c r="M52" s="18" t="n">
        <x:v>4.725</x:v>
      </x:c>
      <x:c r="N52" s="18" t="n">
        <x:f>IF(L52="","",L52-M52)</x:f>
        <x:v>26.775</x:v>
      </x:c>
      <x:c r="O52" s="17" t="str">
        <x:v>已到齐</x:v>
      </x:c>
      <x:c r="P52" s="17" t="str">
        <x:v>合格</x:v>
      </x:c>
      <x:c r="Q52" s="17" t="str">
        <x:v>裁剪</x:v>
      </x:c>
      <x:c r="R52" s="20" t="str">
        <x:v>2026-01-30</x:v>
      </x:c>
      <x:c r="S52" s="17" t="str">
        <x:v>仓库/裁剪</x:v>
      </x:c>
      <x:c r="T52" s="17" t="str">
        <x:f>IF(P52="不合格","质检异常",IF(N52&lt;0,"负库存",IF(N52&lt;K52,"缺料",IF(AND(R52&lt;&gt;"",R52&lt;=DATE(2026,7,16),O52&lt;&gt;"已到齐"),"船期风险","正常"))))</x:f>
        <x:v>缺料</x:v>
      </x:c>
      <x:c r="U52" s="17" t="str">
        <x:f>IF(T52="缺料","采购确认到料/替代料",IF(T52="质检异常","质检判定/退换货",IF(T52="负库存","仓库复盘库存",IF(T52="船期风险","生产排产复核","按计划执行"))))</x:f>
        <x:v>采购确认到料/替代料</x:v>
      </x:c>
    </x:row>
    <x:row r="53">
      <x:c r="A53" s="17" t="str">
        <x:v>SO251021-733</x:v>
      </x:c>
      <x:c r="B53" s="17" t="str">
        <x:v>J1P85-020</x:v>
      </x:c>
      <x:c r="C53" s="17" t="str">
        <x:v>男士针织V领T恤</x:v>
      </x:c>
      <x:c r="D53" s="17" t="str">
        <x:v>船木</x:v>
      </x:c>
      <x:c r="E53" s="17" t="str">
        <x:v>纱线</x:v>
      </x:c>
      <x:c r="F53" s="17" t="str">
        <x:v>棉毛布</x:v>
      </x:c>
      <x:c r="G53" s="17" t="str">
        <x:v>M</x:v>
      </x:c>
      <x:c r="H53" s="18" t="n">
        <x:v>600</x:v>
      </x:c>
      <x:c r="I53" s="18" t="n">
        <x:v>0.76</x:v>
      </x:c>
      <x:c r="J53" s="19" t="n">
        <x:v>0.03</x:v>
      </x:c>
      <x:c r="K53" s="18" t="n">
        <x:f>IF(OR(H53="",I53=""),"",H53*I53*(1+J53))</x:f>
        <x:v>469.68</x:v>
      </x:c>
      <x:c r="L53" s="18" t="n">
        <x:v>258.324</x:v>
      </x:c>
      <x:c r="M53" s="18" t="n">
        <x:v>116.246</x:v>
      </x:c>
      <x:c r="N53" s="18" t="n">
        <x:f>IF(L53="","",L53-M53)</x:f>
        <x:v>142.07800000000003</x:v>
      </x:c>
      <x:c r="O53" s="17" t="str">
        <x:v>部分到料</x:v>
      </x:c>
      <x:c r="P53" s="17" t="str">
        <x:v>合格</x:v>
      </x:c>
      <x:c r="Q53" s="17" t="str">
        <x:v>横机</x:v>
      </x:c>
      <x:c r="R53" s="20" t="str">
        <x:v>2026-01-30</x:v>
      </x:c>
      <x:c r="S53" s="17" t="str">
        <x:v>生产/横机</x:v>
      </x:c>
      <x:c r="T53" s="17" t="str">
        <x:f>IF(P53="不合格","质检异常",IF(N53&lt;0,"负库存",IF(N53&lt;K53,"缺料",IF(AND(R53&lt;&gt;"",R53&lt;=DATE(2026,7,16),O53&lt;&gt;"已到齐"),"船期风险","正常"))))</x:f>
        <x:v>缺料</x:v>
      </x:c>
      <x:c r="U53" s="17" t="str">
        <x:f>IF(T53="缺料","采购确认到料/替代料",IF(T53="质检异常","质检判定/退换货",IF(T53="负库存","仓库复盘库存",IF(T53="船期风险","生产排产复核","按计划执行"))))</x:f>
        <x:v>采购确认到料/替代料</x:v>
      </x:c>
    </x:row>
    <x:row r="54">
      <x:c r="A54" s="17" t="str">
        <x:v>SO251021-731</x:v>
      </x:c>
      <x:c r="B54" s="17" t="str">
        <x:v>J1P80-020</x:v>
      </x:c>
      <x:c r="C54" s="17" t="str">
        <x:v>男士针织短袖T恤</x:v>
      </x:c>
      <x:c r="D54" s="17" t="str">
        <x:v>船木</x:v>
      </x:c>
      <x:c r="E54" s="17" t="str">
        <x:v>面料</x:v>
      </x:c>
      <x:c r="F54" s="17" t="str">
        <x:v>罗文</x:v>
      </x:c>
      <x:c r="G54" s="17" t="str">
        <x:v>M</x:v>
      </x:c>
      <x:c r="H54" s="18" t="n">
        <x:v>3088</x:v>
      </x:c>
      <x:c r="I54" s="18" t="n">
        <x:v>0.04</x:v>
      </x:c>
      <x:c r="J54" s="19" t="n">
        <x:v>0.05</x:v>
      </x:c>
      <x:c r="K54" s="18" t="n">
        <x:f>IF(OR(H54="",I54=""),"",H54*I54*(1+J54))</x:f>
        <x:v>129.696</x:v>
      </x:c>
      <x:c r="L54" s="18" t="n">
        <x:v>129.696</x:v>
      </x:c>
      <x:c r="M54" s="18" t="n">
        <x:v>19.454</x:v>
      </x:c>
      <x:c r="N54" s="18" t="n">
        <x:f>IF(L54="","",L54-M54)</x:f>
        <x:v>110.24199999999999</x:v>
      </x:c>
      <x:c r="O54" s="17" t="str">
        <x:v>已到齐</x:v>
      </x:c>
      <x:c r="P54" s="17" t="str">
        <x:v>合格</x:v>
      </x:c>
      <x:c r="Q54" s="17" t="str">
        <x:v>裁剪</x:v>
      </x:c>
      <x:c r="R54" s="20" t="str">
        <x:v>2026-02-06</x:v>
      </x:c>
      <x:c r="S54" s="17" t="str">
        <x:v>仓库/裁剪</x:v>
      </x:c>
      <x:c r="T54" s="17" t="str">
        <x:f>IF(P54="不合格","质检异常",IF(N54&lt;0,"负库存",IF(N54&lt;K54,"缺料",IF(AND(R54&lt;&gt;"",R54&lt;=DATE(2026,7,16),O54&lt;&gt;"已到齐"),"船期风险","正常"))))</x:f>
        <x:v>缺料</x:v>
      </x:c>
      <x:c r="U54" s="17" t="str">
        <x:f>IF(T54="缺料","采购确认到料/替代料",IF(T54="质检异常","质检判定/退换货",IF(T54="负库存","仓库复盘库存",IF(T54="船期风险","生产排产复核","按计划执行"))))</x:f>
        <x:v>采购确认到料/替代料</x:v>
      </x:c>
    </x:row>
    <x:row r="55">
      <x:c r="A55" s="17" t="str">
        <x:v>SO251021-731</x:v>
      </x:c>
      <x:c r="B55" s="17" t="str">
        <x:v>J1P80-020</x:v>
      </x:c>
      <x:c r="C55" s="17" t="str">
        <x:v>男士针织短袖T恤</x:v>
      </x:c>
      <x:c r="D55" s="17" t="str">
        <x:v>船木</x:v>
      </x:c>
      <x:c r="E55" s="17" t="str">
        <x:v>纱线</x:v>
      </x:c>
      <x:c r="F55" s="17" t="str">
        <x:v>棉毛布</x:v>
      </x:c>
      <x:c r="G55" s="17" t="str">
        <x:v>M</x:v>
      </x:c>
      <x:c r="H55" s="18" t="n">
        <x:v>3088</x:v>
      </x:c>
      <x:c r="I55" s="18" t="n">
        <x:v>0.76</x:v>
      </x:c>
      <x:c r="J55" s="19" t="n">
        <x:v>0.03</x:v>
      </x:c>
      <x:c r="K55" s="18" t="n">
        <x:f>IF(OR(H55="",I55=""),"",H55*I55*(1+J55))</x:f>
        <x:v>2417.2864</x:v>
      </x:c>
      <x:c r="L55" s="18" t="n">
        <x:v>604.322</x:v>
      </x:c>
      <x:c r="M55" s="18" t="n">
        <x:v>90.648</x:v>
      </x:c>
      <x:c r="N55" s="18" t="n">
        <x:f>IF(L55="","",L55-M55)</x:f>
        <x:v>513.674</x:v>
      </x:c>
      <x:c r="O55" s="17" t="str">
        <x:v>部分到料</x:v>
      </x:c>
      <x:c r="P55" s="17" t="str">
        <x:v>合格</x:v>
      </x:c>
      <x:c r="Q55" s="17" t="str">
        <x:v>横机</x:v>
      </x:c>
      <x:c r="R55" s="20" t="str">
        <x:v>2026-02-06</x:v>
      </x:c>
      <x:c r="S55" s="17" t="str">
        <x:v>生产/横机</x:v>
      </x:c>
      <x:c r="T55" s="17" t="str">
        <x:f>IF(P55="不合格","质检异常",IF(N55&lt;0,"负库存",IF(N55&lt;K55,"缺料",IF(AND(R55&lt;&gt;"",R55&lt;=DATE(2026,7,16),O55&lt;&gt;"已到齐"),"船期风险","正常"))))</x:f>
        <x:v>缺料</x:v>
      </x:c>
      <x:c r="U55" s="17" t="str">
        <x:f>IF(T55="缺料","采购确认到料/替代料",IF(T55="质检异常","质检判定/退换货",IF(T55="负库存","仓库复盘库存",IF(T55="船期风险","生产排产复核","按计划执行"))))</x:f>
        <x:v>采购确认到料/替代料</x:v>
      </x:c>
    </x:row>
    <x:row r="56">
      <x:c r="A56" s="17" t="str">
        <x:v>SO260318-1596</x:v>
      </x:c>
      <x:c r="B56" s="17" t="str">
        <x:v>11-04-1321-803</x:v>
      </x:c>
      <x:c r="C56" s="17" t="str">
        <x:v>男士T恤</x:v>
      </x:c>
      <x:c r="D56" s="17" t="str">
        <x:v>尾方</x:v>
      </x:c>
      <x:c r="E56" s="17" t="str">
        <x:v>面料</x:v>
      </x:c>
      <x:c r="F56" s="17" t="str">
        <x:v>F05172</x:v>
      </x:c>
      <x:c r="G56" s="17" t="str">
        <x:v>M</x:v>
      </x:c>
      <x:c r="H56" s="18" t="n">
        <x:v>3860</x:v>
      </x:c>
      <x:c r="I56" s="18" t="n">
        <x:v>0.72</x:v>
      </x:c>
      <x:c r="J56" s="19" t="n">
        <x:v>0.05</x:v>
      </x:c>
      <x:c r="K56" s="18" t="n">
        <x:f>IF(OR(H56="",I56=""),"",H56*I56*(1+J56))</x:f>
        <x:v>2918.16</x:v>
      </x:c>
      <x:c r="L56" s="18" t="n">
        <x:v>2918.16</x:v>
      </x:c>
      <x:c r="M56" s="18" t="n">
        <x:v>1313.172</x:v>
      </x:c>
      <x:c r="N56" s="18" t="n">
        <x:f>IF(L56="","",L56-M56)</x:f>
        <x:v>1604.9879999999998</x:v>
      </x:c>
      <x:c r="O56" s="17" t="str">
        <x:v>已到齐</x:v>
      </x:c>
      <x:c r="P56" s="17" t="str">
        <x:v>不合格</x:v>
      </x:c>
      <x:c r="Q56" s="17" t="str">
        <x:v>裁剪</x:v>
      </x:c>
      <x:c r="R56" s="20" t="str">
        <x:v>2026-02-13</x:v>
      </x:c>
      <x:c r="S56" s="17" t="str">
        <x:v>仓库/裁剪</x:v>
      </x:c>
      <x:c r="T56" s="17" t="str">
        <x:f>IF(P56="不合格","质检异常",IF(N56&lt;0,"负库存",IF(N56&lt;K56,"缺料",IF(AND(R56&lt;&gt;"",R56&lt;=DATE(2026,7,16),O56&lt;&gt;"已到齐"),"船期风险","正常"))))</x:f>
        <x:v>质检异常</x:v>
      </x:c>
      <x:c r="U56" s="17" t="str">
        <x:f>IF(T56="缺料","采购确认到料/替代料",IF(T56="质检异常","质检判定/退换货",IF(T56="负库存","仓库复盘库存",IF(T56="船期风险","生产排产复核","按计划执行"))))</x:f>
        <x:v>质检判定/退换货</x:v>
      </x:c>
    </x:row>
    <x:row r="57">
      <x:c r="A57" s="17" t="str">
        <x:v>SO260318-1596</x:v>
      </x:c>
      <x:c r="B57" s="17" t="str">
        <x:v>11-04-1321-803</x:v>
      </x:c>
      <x:c r="C57" s="17" t="str">
        <x:v>男士T恤</x:v>
      </x:c>
      <x:c r="D57" s="17" t="str">
        <x:v>尾方</x:v>
      </x:c>
      <x:c r="E57" s="17" t="str">
        <x:v>面料</x:v>
      </x:c>
      <x:c r="F57" s="17" t="str">
        <x:v>F04754</x:v>
      </x:c>
      <x:c r="G57" s="17" t="str">
        <x:v>M</x:v>
      </x:c>
      <x:c r="H57" s="18" t="n">
        <x:v>3860</x:v>
      </x:c>
      <x:c r="I57" s="18" t="n">
        <x:v>0.02</x:v>
      </x:c>
      <x:c r="J57" s="19" t="n">
        <x:v>0.05</x:v>
      </x:c>
      <x:c r="K57" s="18" t="n">
        <x:f>IF(OR(H57="",I57=""),"",H57*I57*(1+J57))</x:f>
        <x:v>81.06</x:v>
      </x:c>
      <x:c r="L57" s="18" t="n">
        <x:v>44.583</x:v>
      </x:c>
      <x:c r="M57" s="18" t="n">
        <x:v>6.687</x:v>
      </x:c>
      <x:c r="N57" s="18" t="n">
        <x:f>IF(L57="","",L57-M57)</x:f>
        <x:v>37.896</x:v>
      </x:c>
      <x:c r="O57" s="17" t="str">
        <x:v>部分到料</x:v>
      </x:c>
      <x:c r="P57" s="17" t="str">
        <x:v>合格</x:v>
      </x:c>
      <x:c r="Q57" s="17" t="str">
        <x:v>裁剪</x:v>
      </x:c>
      <x:c r="R57" s="20" t="str">
        <x:v>2026-02-13</x:v>
      </x:c>
      <x:c r="S57" s="17" t="str">
        <x:v>仓库/裁剪</x:v>
      </x:c>
      <x:c r="T57" s="17" t="str">
        <x:f>IF(P57="不合格","质检异常",IF(N57&lt;0,"负库存",IF(N57&lt;K57,"缺料",IF(AND(R57&lt;&gt;"",R57&lt;=DATE(2026,7,16),O57&lt;&gt;"已到齐"),"船期风险","正常"))))</x:f>
        <x:v>缺料</x:v>
      </x:c>
      <x:c r="U57" s="17" t="str">
        <x:f>IF(T57="缺料","采购确认到料/替代料",IF(T57="质检异常","质检判定/退换货",IF(T57="负库存","仓库复盘库存",IF(T57="船期风险","生产排产复核","按计划执行"))))</x:f>
        <x:v>采购确认到料/替代料</x:v>
      </x:c>
    </x:row>
    <x:row r="58">
      <x:c r="A58" s="17" t="str">
        <x:v>SO250822-408</x:v>
      </x:c>
      <x:c r="B58" s="17" t="str">
        <x:v>HM31CS002</x:v>
      </x:c>
      <x:c r="C58" s="17" t="str">
        <x:v>男款短袖T恤</x:v>
      </x:c>
      <x:c r="D58" s="17" t="str">
        <x:v>江本</x:v>
      </x:c>
      <x:c r="E58" s="17" t="str">
        <x:v>面料</x:v>
      </x:c>
      <x:c r="F58" s="17" t="str">
        <x:v>面料F05457</x:v>
      </x:c>
      <x:c r="G58" s="17" t="str">
        <x:v>M</x:v>
      </x:c>
      <x:c r="H58" s="18" t="n">
        <x:v>2731</x:v>
      </x:c>
      <x:c r="I58" s="18" t="n">
        <x:v>0.685</x:v>
      </x:c>
      <x:c r="J58" s="19" t="n">
        <x:v>0.05</x:v>
      </x:c>
      <x:c r="K58" s="18" t="n">
        <x:f>IF(OR(H58="",I58=""),"",H58*I58*(1+J58))</x:f>
        <x:v>1964.27175</x:v>
      </x:c>
      <x:c r="L58" s="18" t="n">
        <x:v>1964.272</x:v>
      </x:c>
      <x:c r="M58" s="18" t="n">
        <x:v>294.641</x:v>
      </x:c>
      <x:c r="N58" s="18" t="n">
        <x:f>IF(L58="","",L58-M58)</x:f>
        <x:v>1669.6309999999999</x:v>
      </x:c>
      <x:c r="O58" s="17" t="str">
        <x:v>已到齐</x:v>
      </x:c>
      <x:c r="P58" s="17" t="str">
        <x:v>合格</x:v>
      </x:c>
      <x:c r="Q58" s="17" t="str">
        <x:v>裁剪</x:v>
      </x:c>
      <x:c r="R58" s="20" t="str">
        <x:v>2026-01-02</x:v>
      </x:c>
      <x:c r="S58" s="17" t="str">
        <x:v>仓库/裁剪</x:v>
      </x:c>
      <x:c r="T58" s="17" t="str">
        <x:f>IF(P58="不合格","质检异常",IF(N58&lt;0,"负库存",IF(N58&lt;K58,"缺料",IF(AND(R58&lt;&gt;"",R58&lt;=DATE(2026,7,16),O58&lt;&gt;"已到齐"),"船期风险","正常"))))</x:f>
        <x:v>缺料</x:v>
      </x:c>
      <x:c r="U58" s="17" t="str">
        <x:f>IF(T58="缺料","采购确认到料/替代料",IF(T58="质检异常","质检判定/退换货",IF(T58="负库存","仓库复盘库存",IF(T58="船期风险","生产排产复核","按计划执行"))))</x:f>
        <x:v>采购确认到料/替代料</x:v>
      </x:c>
    </x:row>
    <x:row r="59">
      <x:c r="A59" s="17" t="str">
        <x:v>SO250822-408</x:v>
      </x:c>
      <x:c r="B59" s="17" t="str">
        <x:v>HM31CS002</x:v>
      </x:c>
      <x:c r="C59" s="17" t="str">
        <x:v>男款短袖T恤</x:v>
      </x:c>
      <x:c r="D59" s="17" t="str">
        <x:v>江本</x:v>
      </x:c>
      <x:c r="E59" s="17" t="str">
        <x:v>面料</x:v>
      </x:c>
      <x:c r="F59" s="17" t="str">
        <x:v>1*1罗纹</x:v>
      </x:c>
      <x:c r="G59" s="17" t="str">
        <x:v>M</x:v>
      </x:c>
      <x:c r="H59" s="18" t="n">
        <x:v>2731</x:v>
      </x:c>
      <x:c r="I59" s="18" t="n">
        <x:v>0.016</x:v>
      </x:c>
      <x:c r="J59" s="19" t="n">
        <x:v>0.05</x:v>
      </x:c>
      <x:c r="K59" s="18" t="n">
        <x:f>IF(OR(H59="",I59=""),"",H59*I59*(1+J59))</x:f>
        <x:v>45.8808</x:v>
      </x:c>
      <x:c r="L59" s="18" t="n">
        <x:v>45.881</x:v>
      </x:c>
      <x:c r="M59" s="18" t="n">
        <x:v>20.646</x:v>
      </x:c>
      <x:c r="N59" s="18" t="n">
        <x:f>IF(L59="","",L59-M59)</x:f>
        <x:v>25.235</x:v>
      </x:c>
      <x:c r="O59" s="17" t="str">
        <x:v>已到齐</x:v>
      </x:c>
      <x:c r="P59" s="17" t="str">
        <x:v>合格</x:v>
      </x:c>
      <x:c r="Q59" s="17" t="str">
        <x:v>裁剪</x:v>
      </x:c>
      <x:c r="R59" s="20" t="str">
        <x:v>2026-01-02</x:v>
      </x:c>
      <x:c r="S59" s="17" t="str">
        <x:v>仓库/裁剪</x:v>
      </x:c>
      <x:c r="T59" s="17" t="str">
        <x:f>IF(P59="不合格","质检异常",IF(N59&lt;0,"负库存",IF(N59&lt;K59,"缺料",IF(AND(R59&lt;&gt;"",R59&lt;=DATE(2026,7,16),O59&lt;&gt;"已到齐"),"船期风险","正常"))))</x:f>
        <x:v>缺料</x:v>
      </x:c>
      <x:c r="U59" s="17" t="str">
        <x:f>IF(T59="缺料","采购确认到料/替代料",IF(T59="质检异常","质检判定/退换货",IF(T59="负库存","仓库复盘库存",IF(T59="船期风险","生产排产复核","按计划执行"))))</x:f>
        <x:v>采购确认到料/替代料</x:v>
      </x:c>
    </x:row>
    <x:row r="60">
      <x:c r="A60" s="17" t="str">
        <x:v>SO250822-407-1</x:v>
      </x:c>
      <x:c r="B60" s="17" t="str">
        <x:v>HM31CS020</x:v>
      </x:c>
      <x:c r="C60" s="17" t="str">
        <x:v>男款半开襟长袖套头衫</x:v>
      </x:c>
      <x:c r="D60" s="17" t="str">
        <x:v>江本</x:v>
      </x:c>
      <x:c r="E60" s="17" t="str">
        <x:v>面料</x:v>
      </x:c>
      <x:c r="F60" s="17" t="str">
        <x:v>客供网眼面料</x:v>
      </x:c>
      <x:c r="G60" s="17" t="str">
        <x:v>M</x:v>
      </x:c>
      <x:c r="H60" s="18" t="n">
        <x:v>477</x:v>
      </x:c>
      <x:c r="I60" s="18" t="n">
        <x:v>2.34</x:v>
      </x:c>
      <x:c r="J60" s="19" t="n">
        <x:v>0.05</x:v>
      </x:c>
      <x:c r="K60" s="18" t="n">
        <x:f>IF(OR(H60="",I60=""),"",H60*I60*(1+J60))</x:f>
        <x:v>1171.9889999999998</x:v>
      </x:c>
      <x:c r="L60" s="18" t="n">
        <x:v>292.997</x:v>
      </x:c>
      <x:c r="M60" s="18" t="n">
        <x:v>43.95</x:v>
      </x:c>
      <x:c r="N60" s="18" t="n">
        <x:f>IF(L60="","",L60-M60)</x:f>
        <x:v>249.04700000000003</x:v>
      </x:c>
      <x:c r="O60" s="17" t="str">
        <x:v>部分到料</x:v>
      </x:c>
      <x:c r="P60" s="17" t="str">
        <x:v>待检</x:v>
      </x:c>
      <x:c r="Q60" s="17" t="str">
        <x:v>裁剪</x:v>
      </x:c>
      <x:c r="R60" s="20" t="str">
        <x:v>2026-01-13</x:v>
      </x:c>
      <x:c r="S60" s="17" t="str">
        <x:v>仓库/裁剪</x:v>
      </x:c>
      <x:c r="T60" s="17" t="str">
        <x:f>IF(P60="不合格","质检异常",IF(N60&lt;0,"负库存",IF(N60&lt;K60,"缺料",IF(AND(R60&lt;&gt;"",R60&lt;=DATE(2026,7,16),O60&lt;&gt;"已到齐"),"船期风险","正常"))))</x:f>
        <x:v>缺料</x:v>
      </x:c>
      <x:c r="U60" s="17" t="str">
        <x:f>IF(T60="缺料","采购确认到料/替代料",IF(T60="质检异常","质检判定/退换货",IF(T60="负库存","仓库复盘库存",IF(T60="船期风险","生产排产复核","按计划执行"))))</x:f>
        <x:v>采购确认到料/替代料</x:v>
      </x:c>
    </x:row>
    <x:row r="61">
      <x:c r="A61" s="17" t="str">
        <x:v>SO250822-407-1</x:v>
      </x:c>
      <x:c r="B61" s="17" t="str">
        <x:v>HM31CS020</x:v>
      </x:c>
      <x:c r="C61" s="17" t="str">
        <x:v>男款半开襟长袖套头衫</x:v>
      </x:c>
      <x:c r="D61" s="17" t="str">
        <x:v>江本</x:v>
      </x:c>
      <x:c r="E61" s="17" t="str">
        <x:v>面料</x:v>
      </x:c>
      <x:c r="F61" s="17" t="str">
        <x:v>客供圆筒罗纹面料</x:v>
      </x:c>
      <x:c r="G61" s="17" t="str">
        <x:v>M</x:v>
      </x:c>
      <x:c r="H61" s="18" t="n">
        <x:v>477</x:v>
      </x:c>
      <x:c r="I61" s="18" t="n">
        <x:v>0.33</x:v>
      </x:c>
      <x:c r="J61" s="19" t="n">
        <x:v>0.05</x:v>
      </x:c>
      <x:c r="K61" s="18" t="n">
        <x:f>IF(OR(H61="",I61=""),"",H61*I61*(1+J61))</x:f>
        <x:v>165.2805</x:v>
      </x:c>
      <x:c r="L61" s="18" t="n">
        <x:v>90.905</x:v>
      </x:c>
      <x:c r="M61" s="18" t="n">
        <x:v>13.636</x:v>
      </x:c>
      <x:c r="N61" s="18" t="n">
        <x:f>IF(L61="","",L61-M61)</x:f>
        <x:v>77.269</x:v>
      </x:c>
      <x:c r="O61" s="17" t="str">
        <x:v>部分到料</x:v>
      </x:c>
      <x:c r="P61" s="17" t="str">
        <x:v>合格</x:v>
      </x:c>
      <x:c r="Q61" s="17" t="str">
        <x:v>裁剪</x:v>
      </x:c>
      <x:c r="R61" s="20" t="str">
        <x:v>2026-01-13</x:v>
      </x:c>
      <x:c r="S61" s="17" t="str">
        <x:v>仓库/裁剪</x:v>
      </x:c>
      <x:c r="T61" s="17" t="str">
        <x:f>IF(P61="不合格","质检异常",IF(N61&lt;0,"负库存",IF(N61&lt;K61,"缺料",IF(AND(R61&lt;&gt;"",R61&lt;=DATE(2026,7,16),O61&lt;&gt;"已到齐"),"船期风险","正常"))))</x:f>
        <x:v>缺料</x:v>
      </x:c>
      <x:c r="U61" s="17" t="str">
        <x:f>IF(T61="缺料","采购确认到料/替代料",IF(T61="质检异常","质检判定/退换货",IF(T61="负库存","仓库复盘库存",IF(T61="船期风险","生产排产复核","按计划执行"))))</x:f>
        <x:v>采购确认到料/替代料</x:v>
      </x:c>
    </x:row>
    <x:row r="62">
      <x:c r="A62" s="17" t="str">
        <x:v>SO250822-409</x:v>
      </x:c>
      <x:c r="B62" s="17" t="str">
        <x:v>HM31CS003</x:v>
      </x:c>
      <x:c r="C62" s="17" t="str">
        <x:v>男款针织开衫</x:v>
      </x:c>
      <x:c r="D62" s="17" t="str">
        <x:v>江本</x:v>
      </x:c>
      <x:c r="E62" s="17" t="str">
        <x:v>纱线</x:v>
      </x:c>
      <x:c r="F62" s="17" t="str">
        <x:v>客供起毛毛圈</x:v>
      </x:c>
      <x:c r="G62" s="17" t="str">
        <x:v>M</x:v>
      </x:c>
      <x:c r="H62" s="18" t="n">
        <x:v>111</x:v>
      </x:c>
      <x:c r="I62" s="18" t="n">
        <x:v>1.99</x:v>
      </x:c>
      <x:c r="J62" s="19" t="n">
        <x:v>0.03</x:v>
      </x:c>
      <x:c r="K62" s="18" t="n">
        <x:f>IF(OR(H62="",I62=""),"",H62*I62*(1+J62))</x:f>
        <x:v>227.5167</x:v>
      </x:c>
      <x:c r="L62" s="18" t="n">
        <x:v>227.517</x:v>
      </x:c>
      <x:c r="M62" s="18" t="n">
        <x:v>102.383</x:v>
      </x:c>
      <x:c r="N62" s="18" t="n">
        <x:f>IF(L62="","",L62-M62)</x:f>
        <x:v>125.134</x:v>
      </x:c>
      <x:c r="O62" s="17" t="str">
        <x:v>已到齐</x:v>
      </x:c>
      <x:c r="P62" s="17" t="str">
        <x:v>合格</x:v>
      </x:c>
      <x:c r="Q62" s="17" t="str">
        <x:v>横机</x:v>
      </x:c>
      <x:c r="R62" s="20" t="str">
        <x:v>2026-01-13</x:v>
      </x:c>
      <x:c r="S62" s="17" t="str">
        <x:v>生产/横机</x:v>
      </x:c>
      <x:c r="T62" s="17" t="str">
        <x:f>IF(P62="不合格","质检异常",IF(N62&lt;0,"负库存",IF(N62&lt;K62,"缺料",IF(AND(R62&lt;&gt;"",R62&lt;=DATE(2026,7,16),O62&lt;&gt;"已到齐"),"船期风险","正常"))))</x:f>
        <x:v>缺料</x:v>
      </x:c>
      <x:c r="U62" s="17" t="str">
        <x:f>IF(T62="缺料","采购确认到料/替代料",IF(T62="质检异常","质检判定/退换货",IF(T62="负库存","仓库复盘库存",IF(T62="船期风险","生产排产复核","按计划执行"))))</x:f>
        <x:v>采购确认到料/替代料</x:v>
      </x:c>
    </x:row>
    <x:row r="63">
      <x:c r="A63" s="17" t="str">
        <x:v>SO250822-409</x:v>
      </x:c>
      <x:c r="B63" s="17" t="str">
        <x:v>HM31CS003</x:v>
      </x:c>
      <x:c r="C63" s="17" t="str">
        <x:v>男款针织开衫</x:v>
      </x:c>
      <x:c r="D63" s="17" t="str">
        <x:v>江本</x:v>
      </x:c>
      <x:c r="E63" s="17" t="str">
        <x:v>面料</x:v>
      </x:c>
      <x:c r="F63" s="17" t="str">
        <x:v>客供梭织布</x:v>
      </x:c>
      <x:c r="G63" s="17" t="str">
        <x:v>M</x:v>
      </x:c>
      <x:c r="H63" s="18" t="n">
        <x:v>111</x:v>
      </x:c>
      <x:c r="I63" s="18" t="n">
        <x:v>0.39</x:v>
      </x:c>
      <x:c r="J63" s="19" t="n">
        <x:v>0.05</x:v>
      </x:c>
      <x:c r="K63" s="18" t="n">
        <x:f>IF(OR(H63="",I63=""),"",H63*I63*(1+J63))</x:f>
        <x:v>45.4545</x:v>
      </x:c>
      <x:c r="L63" s="18" t="n">
        <x:v>45.455</x:v>
      </x:c>
      <x:c r="M63" s="18" t="n">
        <x:v>6.818</x:v>
      </x:c>
      <x:c r="N63" s="18" t="n">
        <x:f>IF(L63="","",L63-M63)</x:f>
        <x:v>38.637</x:v>
      </x:c>
      <x:c r="O63" s="17" t="str">
        <x:v>已到齐</x:v>
      </x:c>
      <x:c r="P63" s="17" t="str">
        <x:v>合格</x:v>
      </x:c>
      <x:c r="Q63" s="17" t="str">
        <x:v>裁剪</x:v>
      </x:c>
      <x:c r="R63" s="20" t="str">
        <x:v>2026-01-13</x:v>
      </x:c>
      <x:c r="S63" s="17" t="str">
        <x:v>仓库/裁剪</x:v>
      </x:c>
      <x:c r="T63" s="17" t="str">
        <x:f>IF(P63="不合格","质检异常",IF(N63&lt;0,"负库存",IF(N63&lt;K63,"缺料",IF(AND(R63&lt;&gt;"",R63&lt;=DATE(2026,7,16),O63&lt;&gt;"已到齐"),"船期风险","正常"))))</x:f>
        <x:v>缺料</x:v>
      </x:c>
      <x:c r="U63" s="17" t="str">
        <x:f>IF(T63="缺料","采购确认到料/替代料",IF(T63="质检异常","质检判定/退换货",IF(T63="负库存","仓库复盘库存",IF(T63="船期风险","生产排产复核","按计划执行"))))</x:f>
        <x:v>采购确认到料/替代料</x:v>
      </x:c>
    </x:row>
    <x:row r="64">
      <x:c r="A64" s="17" t="str">
        <x:v>SO250822-409</x:v>
      </x:c>
      <x:c r="B64" s="17" t="str">
        <x:v>HM31CS003</x:v>
      </x:c>
      <x:c r="C64" s="17" t="str">
        <x:v>男款针织开衫</x:v>
      </x:c>
      <x:c r="D64" s="17" t="str">
        <x:v>江本</x:v>
      </x:c>
      <x:c r="E64" s="17" t="str">
        <x:v>面料</x:v>
      </x:c>
      <x:c r="F64" s="17" t="str">
        <x:v>罗纹布</x:v>
      </x:c>
      <x:c r="G64" s="17" t="str">
        <x:v>M</x:v>
      </x:c>
      <x:c r="H64" s="18" t="n">
        <x:v>111</x:v>
      </x:c>
      <x:c r="I64" s="18" t="n">
        <x:v>0.09</x:v>
      </x:c>
      <x:c r="J64" s="19" t="n">
        <x:v>0.05</x:v>
      </x:c>
      <x:c r="K64" s="18" t="n">
        <x:f>IF(OR(H64="",I64=""),"",H64*I64*(1+J64))</x:f>
        <x:v>10.489500000000001</x:v>
      </x:c>
      <x:c r="L64" s="18" t="n">
        <x:v>10.49</x:v>
      </x:c>
      <x:c r="M64" s="18" t="n">
        <x:v>1.574</x:v>
      </x:c>
      <x:c r="N64" s="18" t="n">
        <x:f>IF(L64="","",L64-M64)</x:f>
        <x:v>8.916</x:v>
      </x:c>
      <x:c r="O64" s="17" t="str">
        <x:v>已到齐</x:v>
      </x:c>
      <x:c r="P64" s="17" t="str">
        <x:v>合格</x:v>
      </x:c>
      <x:c r="Q64" s="17" t="str">
        <x:v>裁剪</x:v>
      </x:c>
      <x:c r="R64" s="20" t="str">
        <x:v>2026-01-13</x:v>
      </x:c>
      <x:c r="S64" s="17" t="str">
        <x:v>仓库/裁剪</x:v>
      </x:c>
      <x:c r="T64" s="17" t="str">
        <x:f>IF(P64="不合格","质检异常",IF(N64&lt;0,"负库存",IF(N64&lt;K64,"缺料",IF(AND(R64&lt;&gt;"",R64&lt;=DATE(2026,7,16),O64&lt;&gt;"已到齐"),"船期风险","正常"))))</x:f>
        <x:v>缺料</x:v>
      </x:c>
      <x:c r="U64" s="17" t="str">
        <x:f>IF(T64="缺料","采购确认到料/替代料",IF(T64="质检异常","质检判定/退换货",IF(T64="负库存","仓库复盘库存",IF(T64="船期风险","生产排产复核","按计划执行"))))</x:f>
        <x:v>采购确认到料/替代料</x:v>
      </x:c>
    </x:row>
    <x:row r="65">
      <x:c r="A65" s="17" t="str">
        <x:v>SO250822-407-2</x:v>
      </x:c>
      <x:c r="B65" s="17" t="str">
        <x:v>HM31CS020</x:v>
      </x:c>
      <x:c r="C65" s="17" t="str">
        <x:v>男款半开襟长袖套头衫</x:v>
      </x:c>
      <x:c r="D65" s="17" t="str">
        <x:v>江本</x:v>
      </x:c>
      <x:c r="E65" s="17" t="str">
        <x:v>面料</x:v>
      </x:c>
      <x:c r="F65" s="17" t="str">
        <x:v>客供网眼面料</x:v>
      </x:c>
      <x:c r="G65" s="17" t="str">
        <x:v>M</x:v>
      </x:c>
      <x:c r="H65" s="18" t="n">
        <x:v>457</x:v>
      </x:c>
      <x:c r="I65" s="18" t="n">
        <x:v>2.34</x:v>
      </x:c>
      <x:c r="J65" s="19" t="n">
        <x:v>0.05</x:v>
      </x:c>
      <x:c r="K65" s="18" t="n">
        <x:f>IF(OR(H65="",I65=""),"",H65*I65*(1+J65))</x:f>
        <x:v>1122.849</x:v>
      </x:c>
      <x:c r="L65" s="18" t="n">
        <x:v>280.712</x:v>
      </x:c>
      <x:c r="M65" s="18" t="n">
        <x:v>126.32</x:v>
      </x:c>
      <x:c r="N65" s="18" t="n">
        <x:f>IF(L65="","",L65-M65)</x:f>
        <x:v>154.392</x:v>
      </x:c>
      <x:c r="O65" s="17" t="str">
        <x:v>部分到料</x:v>
      </x:c>
      <x:c r="P65" s="17" t="str">
        <x:v>合格</x:v>
      </x:c>
      <x:c r="Q65" s="17" t="str">
        <x:v>裁剪</x:v>
      </x:c>
      <x:c r="R65" s="20" t="str">
        <x:v>2026-01-13</x:v>
      </x:c>
      <x:c r="S65" s="17" t="str">
        <x:v>仓库/裁剪</x:v>
      </x:c>
      <x:c r="T65" s="17" t="str">
        <x:f>IF(P65="不合格","质检异常",IF(N65&lt;0,"负库存",IF(N65&lt;K65,"缺料",IF(AND(R65&lt;&gt;"",R65&lt;=DATE(2026,7,16),O65&lt;&gt;"已到齐"),"船期风险","正常"))))</x:f>
        <x:v>缺料</x:v>
      </x:c>
      <x:c r="U65" s="17" t="str">
        <x:f>IF(T65="缺料","采购确认到料/替代料",IF(T65="质检异常","质检判定/退换货",IF(T65="负库存","仓库复盘库存",IF(T65="船期风险","生产排产复核","按计划执行"))))</x:f>
        <x:v>采购确认到料/替代料</x:v>
      </x:c>
    </x:row>
    <x:row r="66">
      <x:c r="A66" s="17" t="str">
        <x:v>SO250822-407-2</x:v>
      </x:c>
      <x:c r="B66" s="17" t="str">
        <x:v>HM31CS020</x:v>
      </x:c>
      <x:c r="C66" s="17" t="str">
        <x:v>男款半开襟长袖套头衫</x:v>
      </x:c>
      <x:c r="D66" s="17" t="str">
        <x:v>江本</x:v>
      </x:c>
      <x:c r="E66" s="17" t="str">
        <x:v>面料</x:v>
      </x:c>
      <x:c r="F66" s="17" t="str">
        <x:v>客供圆筒罗纹面料</x:v>
      </x:c>
      <x:c r="G66" s="17" t="str">
        <x:v>M</x:v>
      </x:c>
      <x:c r="H66" s="18" t="n">
        <x:v>457</x:v>
      </x:c>
      <x:c r="I66" s="18" t="n">
        <x:v>0.33</x:v>
      </x:c>
      <x:c r="J66" s="19" t="n">
        <x:v>0.05</x:v>
      </x:c>
      <x:c r="K66" s="18" t="n">
        <x:f>IF(OR(H66="",I66=""),"",H66*I66*(1+J66))</x:f>
        <x:v>158.3505</x:v>
      </x:c>
      <x:c r="L66" s="18" t="n">
        <x:v>158.351</x:v>
      </x:c>
      <x:c r="M66" s="18" t="n">
        <x:v>23.753</x:v>
      </x:c>
      <x:c r="N66" s="18" t="n">
        <x:f>IF(L66="","",L66-M66)</x:f>
        <x:v>134.598</x:v>
      </x:c>
      <x:c r="O66" s="17" t="str">
        <x:v>已到齐</x:v>
      </x:c>
      <x:c r="P66" s="17" t="str">
        <x:v>合格</x:v>
      </x:c>
      <x:c r="Q66" s="17" t="str">
        <x:v>裁剪</x:v>
      </x:c>
      <x:c r="R66" s="20" t="str">
        <x:v>2026-01-13</x:v>
      </x:c>
      <x:c r="S66" s="17" t="str">
        <x:v>仓库/裁剪</x:v>
      </x:c>
      <x:c r="T66" s="17" t="str">
        <x:f>IF(P66="不合格","质检异常",IF(N66&lt;0,"负库存",IF(N66&lt;K66,"缺料",IF(AND(R66&lt;&gt;"",R66&lt;=DATE(2026,7,16),O66&lt;&gt;"已到齐"),"船期风险","正常"))))</x:f>
        <x:v>缺料</x:v>
      </x:c>
      <x:c r="U66" s="17" t="str">
        <x:f>IF(T66="缺料","采购确认到料/替代料",IF(T66="质检异常","质检判定/退换货",IF(T66="负库存","仓库复盘库存",IF(T66="船期风险","生产排产复核","按计划执行"))))</x:f>
        <x:v>采购确认到料/替代料</x:v>
      </x:c>
    </x:row>
    <x:row r="67">
      <x:c r="A67" s="17" t="str">
        <x:v>SO250827-427</x:v>
      </x:c>
      <x:c r="B67" s="17" t="str">
        <x:v>CH02-1268</x:v>
      </x:c>
      <x:c r="C67" s="17" t="str">
        <x:v>男士绣花PO衫</x:v>
      </x:c>
      <x:c r="D67" s="17" t="str">
        <x:v>本村</x:v>
      </x:c>
      <x:c r="E67" s="17" t="str">
        <x:v>面料</x:v>
      </x:c>
      <x:c r="F67" s="17" t="str">
        <x:v>面料F03861</x:v>
      </x:c>
      <x:c r="G67" s="17" t="str">
        <x:v>M</x:v>
      </x:c>
      <x:c r="H67" s="18" t="n">
        <x:v>1213</x:v>
      </x:c>
      <x:c r="I67" s="18" t="n">
        <x:v>0.76</x:v>
      </x:c>
      <x:c r="J67" s="19" t="n">
        <x:v>0.05</x:v>
      </x:c>
      <x:c r="K67" s="18" t="n">
        <x:f>IF(OR(H67="",I67=""),"",H67*I67*(1+J67))</x:f>
        <x:v>967.974</x:v>
      </x:c>
      <x:c r="L67" s="18" t="n">
        <x:v>967.974</x:v>
      </x:c>
      <x:c r="M67" s="18" t="n">
        <x:v>145.196</x:v>
      </x:c>
      <x:c r="N67" s="18" t="n">
        <x:f>IF(L67="","",L67-M67)</x:f>
        <x:v>822.778</x:v>
      </x:c>
      <x:c r="O67" s="17" t="str">
        <x:v>已到齐</x:v>
      </x:c>
      <x:c r="P67" s="17" t="str">
        <x:v>合格</x:v>
      </x:c>
      <x:c r="Q67" s="17" t="str">
        <x:v>裁剪</x:v>
      </x:c>
      <x:c r="R67" s="20" t="str">
        <x:v>2026-01-10</x:v>
      </x:c>
      <x:c r="S67" s="17" t="str">
        <x:v>仓库/裁剪</x:v>
      </x:c>
      <x:c r="T67" s="17" t="str">
        <x:f>IF(P67="不合格","质检异常",IF(N67&lt;0,"负库存",IF(N67&lt;K67,"缺料",IF(AND(R67&lt;&gt;"",R67&lt;=DATE(2026,7,16),O67&lt;&gt;"已到齐"),"船期风险","正常"))))</x:f>
        <x:v>缺料</x:v>
      </x:c>
      <x:c r="U67" s="17" t="str">
        <x:f>IF(T67="缺料","采购确认到料/替代料",IF(T67="质检异常","质检判定/退换货",IF(T67="负库存","仓库复盘库存",IF(T67="船期风险","生产排产复核","按计划执行"))))</x:f>
        <x:v>采购确认到料/替代料</x:v>
      </x:c>
    </x:row>
    <x:row r="68">
      <x:c r="A68" s="17" t="str">
        <x:v>SO250827-427</x:v>
      </x:c>
      <x:c r="B68" s="17" t="str">
        <x:v>CH02-1268</x:v>
      </x:c>
      <x:c r="C68" s="17" t="str">
        <x:v>男士绣花PO衫</x:v>
      </x:c>
      <x:c r="D68" s="17" t="str">
        <x:v>本村</x:v>
      </x:c>
      <x:c r="E68" s="17" t="str">
        <x:v>纱线</x:v>
      </x:c>
      <x:c r="F68" s="17" t="str">
        <x:v>21双纱</x:v>
      </x:c>
      <x:c r="G68" s="17" t="str">
        <x:v>KG</x:v>
      </x:c>
      <x:c r="H68" s="18" t="n">
        <x:v>1213</x:v>
      </x:c>
      <x:c r="I68" s="18" t="n">
        <x:v>0.024</x:v>
      </x:c>
      <x:c r="J68" s="19" t="n">
        <x:v>0.03</x:v>
      </x:c>
      <x:c r="K68" s="18" t="n">
        <x:f>IF(OR(H68="",I68=""),"",H68*I68*(1+J68))</x:f>
        <x:v>29.985360000000004</x:v>
      </x:c>
      <x:c r="L68" s="18" t="n">
        <x:v>29.985</x:v>
      </x:c>
      <x:c r="M68" s="18" t="n">
        <x:v>13.493</x:v>
      </x:c>
      <x:c r="N68" s="18" t="n">
        <x:f>IF(L68="","",L68-M68)</x:f>
        <x:v>16.491999999999997</x:v>
      </x:c>
      <x:c r="O68" s="17" t="str">
        <x:v>已到齐</x:v>
      </x:c>
      <x:c r="P68" s="17" t="str">
        <x:v>合格</x:v>
      </x:c>
      <x:c r="Q68" s="17" t="str">
        <x:v>横机</x:v>
      </x:c>
      <x:c r="R68" s="20" t="str">
        <x:v>2026-01-10</x:v>
      </x:c>
      <x:c r="S68" s="17" t="str">
        <x:v>生产/横机</x:v>
      </x:c>
      <x:c r="T68" s="17" t="str">
        <x:f>IF(P68="不合格","质检异常",IF(N68&lt;0,"负库存",IF(N68&lt;K68,"缺料",IF(AND(R68&lt;&gt;"",R68&lt;=DATE(2026,7,16),O68&lt;&gt;"已到齐"),"船期风险","正常"))))</x:f>
        <x:v>缺料</x:v>
      </x:c>
      <x:c r="U68" s="17" t="str">
        <x:f>IF(T68="缺料","采购确认到料/替代料",IF(T68="质检异常","质检判定/退换货",IF(T68="负库存","仓库复盘库存",IF(T68="船期风险","生产排产复核","按计划执行"))))</x:f>
        <x:v>采购确认到料/替代料</x:v>
      </x:c>
    </x:row>
    <x:row r="69">
      <x:c r="A69" s="17" t="str">
        <x:v>SO250827-427</x:v>
      </x:c>
      <x:c r="B69" s="17" t="str">
        <x:v>CH02-1268</x:v>
      </x:c>
      <x:c r="C69" s="17" t="str">
        <x:v>男士绣花PO衫</x:v>
      </x:c>
      <x:c r="D69" s="17" t="str">
        <x:v>本村</x:v>
      </x:c>
      <x:c r="E69" s="17" t="str">
        <x:v>纱线</x:v>
      </x:c>
      <x:c r="F69" s="17" t="str">
        <x:v>高弹丝</x:v>
      </x:c>
      <x:c r="G69" s="17" t="str">
        <x:v>M</x:v>
      </x:c>
      <x:c r="H69" s="18" t="n">
        <x:v>1213</x:v>
      </x:c>
      <x:c r="I69" s="18" t="n">
        <x:v>0.007</x:v>
      </x:c>
      <x:c r="J69" s="19" t="n">
        <x:v>0.03</x:v>
      </x:c>
      <x:c r="K69" s="18" t="n">
        <x:f>IF(OR(H69="",I69=""),"",H69*I69*(1+J69))</x:f>
        <x:v>8.74573</x:v>
      </x:c>
      <x:c r="L69" s="18" t="n">
        <x:v>4.81</x:v>
      </x:c>
      <x:c r="M69" s="18" t="n">
        <x:v>0.721</x:v>
      </x:c>
      <x:c r="N69" s="18" t="n">
        <x:f>IF(L69="","",L69-M69)</x:f>
        <x:v>4.0889999999999995</x:v>
      </x:c>
      <x:c r="O69" s="17" t="str">
        <x:v>部分到料</x:v>
      </x:c>
      <x:c r="P69" s="17" t="str">
        <x:v>合格</x:v>
      </x:c>
      <x:c r="Q69" s="17" t="str">
        <x:v>横机</x:v>
      </x:c>
      <x:c r="R69" s="20" t="str">
        <x:v>2026-01-10</x:v>
      </x:c>
      <x:c r="S69" s="17" t="str">
        <x:v>生产/横机</x:v>
      </x:c>
      <x:c r="T69" s="17" t="str">
        <x:f>IF(P69="不合格","质检异常",IF(N69&lt;0,"负库存",IF(N69&lt;K69,"缺料",IF(AND(R69&lt;&gt;"",R69&lt;=DATE(2026,7,16),O69&lt;&gt;"已到齐"),"船期风险","正常"))))</x:f>
        <x:v>缺料</x:v>
      </x:c>
      <x:c r="U69" s="17" t="str">
        <x:f>IF(T69="缺料","采购确认到料/替代料",IF(T69="质检异常","质检判定/退换货",IF(T69="负库存","仓库复盘库存",IF(T69="船期风险","生产排产复核","按计划执行"))))</x:f>
        <x:v>采购确认到料/替代料</x:v>
      </x:c>
    </x:row>
    <x:row r="70">
      <x:c r="A70" s="17" t="str">
        <x:v>SO250827-427</x:v>
      </x:c>
      <x:c r="B70" s="17" t="str">
        <x:v>CH02-1268</x:v>
      </x:c>
      <x:c r="C70" s="17" t="str">
        <x:v>男士绣花PO衫</x:v>
      </x:c>
      <x:c r="D70" s="17" t="str">
        <x:v>本村</x:v>
      </x:c>
      <x:c r="E70" s="17" t="str">
        <x:v>面料</x:v>
      </x:c>
      <x:c r="F70" s="17" t="str">
        <x:v>面料F00368</x:v>
      </x:c>
      <x:c r="G70" s="17" t="str">
        <x:v>M</x:v>
      </x:c>
      <x:c r="H70" s="18" t="n">
        <x:v>1213</x:v>
      </x:c>
      <x:c r="I70" s="18" t="n">
        <x:v>0.76</x:v>
      </x:c>
      <x:c r="J70" s="19" t="n">
        <x:v>0.05</x:v>
      </x:c>
      <x:c r="K70" s="18" t="n">
        <x:f>IF(OR(H70="",I70=""),"",H70*I70*(1+J70))</x:f>
        <x:v>967.974</x:v>
      </x:c>
      <x:c r="L70" s="18" t="n">
        <x:v>241.994</x:v>
      </x:c>
      <x:c r="M70" s="18" t="n">
        <x:v>36.299</x:v>
      </x:c>
      <x:c r="N70" s="18" t="n">
        <x:f>IF(L70="","",L70-M70)</x:f>
        <x:v>205.695</x:v>
      </x:c>
      <x:c r="O70" s="17" t="str">
        <x:v>部分到料</x:v>
      </x:c>
      <x:c r="P70" s="17" t="str">
        <x:v>合格</x:v>
      </x:c>
      <x:c r="Q70" s="17" t="str">
        <x:v>裁剪</x:v>
      </x:c>
      <x:c r="R70" s="20" t="str">
        <x:v>2026-01-10</x:v>
      </x:c>
      <x:c r="S70" s="17" t="str">
        <x:v>仓库/裁剪</x:v>
      </x:c>
      <x:c r="T70" s="17" t="str">
        <x:f>IF(P70="不合格","质检异常",IF(N70&lt;0,"负库存",IF(N70&lt;K70,"缺料",IF(AND(R70&lt;&gt;"",R70&lt;=DATE(2026,7,16),O70&lt;&gt;"已到齐"),"船期风险","正常"))))</x:f>
        <x:v>缺料</x:v>
      </x:c>
      <x:c r="U70" s="17" t="str">
        <x:f>IF(T70="缺料","采购确认到料/替代料",IF(T70="质检异常","质检判定/退换货",IF(T70="负库存","仓库复盘库存",IF(T70="船期风险","生产排产复核","按计划执行"))))</x:f>
        <x:v>采购确认到料/替代料</x:v>
      </x:c>
    </x:row>
    <x:row r="71">
      <x:c r="A71" s="17" t="str">
        <x:v>SO250827-427</x:v>
      </x:c>
      <x:c r="B71" s="17" t="str">
        <x:v>CH02-1268</x:v>
      </x:c>
      <x:c r="C71" s="17" t="str">
        <x:v>男士绣花PO衫</x:v>
      </x:c>
      <x:c r="D71" s="17" t="str">
        <x:v>本村</x:v>
      </x:c>
      <x:c r="E71" s="17" t="str">
        <x:v>面料</x:v>
      </x:c>
      <x:c r="F71" s="17" t="str">
        <x:v>面料F00369</x:v>
      </x:c>
      <x:c r="G71" s="17" t="str">
        <x:v>M</x:v>
      </x:c>
      <x:c r="H71" s="18" t="n">
        <x:v>1213</x:v>
      </x:c>
      <x:c r="I71" s="18" t="n">
        <x:v>0.76</x:v>
      </x:c>
      <x:c r="J71" s="19" t="n">
        <x:v>0.05</x:v>
      </x:c>
      <x:c r="K71" s="18" t="n">
        <x:f>IF(OR(H71="",I71=""),"",H71*I71*(1+J71))</x:f>
        <x:v>967.974</x:v>
      </x:c>
      <x:c r="L71" s="18" t="n">
        <x:v>967.974</x:v>
      </x:c>
      <x:c r="M71" s="18" t="n">
        <x:v>435.588</x:v>
      </x:c>
      <x:c r="N71" s="18" t="n">
        <x:f>IF(L71="","",L71-M71)</x:f>
        <x:v>532.386</x:v>
      </x:c>
      <x:c r="O71" s="17" t="str">
        <x:v>已到齐</x:v>
      </x:c>
      <x:c r="P71" s="17" t="str">
        <x:v>待检</x:v>
      </x:c>
      <x:c r="Q71" s="17" t="str">
        <x:v>裁剪</x:v>
      </x:c>
      <x:c r="R71" s="20" t="str">
        <x:v>2026-01-10</x:v>
      </x:c>
      <x:c r="S71" s="17" t="str">
        <x:v>仓库/裁剪</x:v>
      </x:c>
      <x:c r="T71" s="17" t="str">
        <x:f>IF(P71="不合格","质检异常",IF(N71&lt;0,"负库存",IF(N71&lt;K71,"缺料",IF(AND(R71&lt;&gt;"",R71&lt;=DATE(2026,7,16),O71&lt;&gt;"已到齐"),"船期风险","正常"))))</x:f>
        <x:v>缺料</x:v>
      </x:c>
      <x:c r="U71" s="17" t="str">
        <x:f>IF(T71="缺料","采购确认到料/替代料",IF(T71="质检异常","质检判定/退换货",IF(T71="负库存","仓库复盘库存",IF(T71="船期风险","生产排产复核","按计划执行"))))</x:f>
        <x:v>采购确认到料/替代料</x:v>
      </x:c>
    </x:row>
    <x:row r="72">
      <x:c r="A72" s="17" t="str">
        <x:v>SO250827-428</x:v>
      </x:c>
      <x:c r="B72" s="17" t="str">
        <x:v>CH12-1268</x:v>
      </x:c>
      <x:c r="C72" s="17" t="str">
        <x:v>女士绣花PO衫</x:v>
      </x:c>
      <x:c r="D72" s="17" t="str">
        <x:v>本村</x:v>
      </x:c>
      <x:c r="E72" s="17" t="str">
        <x:v>面料</x:v>
      </x:c>
      <x:c r="F72" s="17" t="str">
        <x:v>面料F03861</x:v>
      </x:c>
      <x:c r="G72" s="17" t="str">
        <x:v>M</x:v>
      </x:c>
      <x:c r="H72" s="18" t="n">
        <x:v>80</x:v>
      </x:c>
      <x:c r="I72" s="18" t="n">
        <x:v>0.67</x:v>
      </x:c>
      <x:c r="J72" s="19" t="n">
        <x:v>0.05</x:v>
      </x:c>
      <x:c r="K72" s="18" t="n">
        <x:f>IF(OR(H72="",I72=""),"",H72*I72*(1+J72))</x:f>
        <x:v>56.28</x:v>
      </x:c>
      <x:c r="L72" s="18" t="n">
        <x:v>56.28</x:v>
      </x:c>
      <x:c r="M72" s="18" t="n">
        <x:v>8.442</x:v>
      </x:c>
      <x:c r="N72" s="18" t="n">
        <x:f>IF(L72="","",L72-M72)</x:f>
        <x:v>47.838</x:v>
      </x:c>
      <x:c r="O72" s="17" t="str">
        <x:v>已到齐</x:v>
      </x:c>
      <x:c r="P72" s="17" t="str">
        <x:v>合格</x:v>
      </x:c>
      <x:c r="Q72" s="17" t="str">
        <x:v>裁剪</x:v>
      </x:c>
      <x:c r="R72" s="20" t="str">
        <x:v>2026-01-10</x:v>
      </x:c>
      <x:c r="S72" s="17" t="str">
        <x:v>仓库/裁剪</x:v>
      </x:c>
      <x:c r="T72" s="17" t="str">
        <x:f>IF(P72="不合格","质检异常",IF(N72&lt;0,"负库存",IF(N72&lt;K72,"缺料",IF(AND(R72&lt;&gt;"",R72&lt;=DATE(2026,7,16),O72&lt;&gt;"已到齐"),"船期风险","正常"))))</x:f>
        <x:v>缺料</x:v>
      </x:c>
      <x:c r="U72" s="17" t="str">
        <x:f>IF(T72="缺料","采购确认到料/替代料",IF(T72="质检异常","质检判定/退换货",IF(T72="负库存","仓库复盘库存",IF(T72="船期风险","生产排产复核","按计划执行"))))</x:f>
        <x:v>采购确认到料/替代料</x:v>
      </x:c>
    </x:row>
    <x:row r="73">
      <x:c r="A73" s="17" t="str">
        <x:v>SO250827-428</x:v>
      </x:c>
      <x:c r="B73" s="17" t="str">
        <x:v>CH12-1268</x:v>
      </x:c>
      <x:c r="C73" s="17" t="str">
        <x:v>女士绣花PO衫</x:v>
      </x:c>
      <x:c r="D73" s="17" t="str">
        <x:v>本村</x:v>
      </x:c>
      <x:c r="E73" s="17" t="str">
        <x:v>纱线</x:v>
      </x:c>
      <x:c r="F73" s="17" t="str">
        <x:v>21双纱</x:v>
      </x:c>
      <x:c r="G73" s="17" t="str">
        <x:v>KG</x:v>
      </x:c>
      <x:c r="H73" s="18" t="n">
        <x:v>80</x:v>
      </x:c>
      <x:c r="I73" s="18" t="n">
        <x:v>0.02</x:v>
      </x:c>
      <x:c r="J73" s="19" t="n">
        <x:v>0.03</x:v>
      </x:c>
      <x:c r="K73" s="18" t="n">
        <x:f>IF(OR(H73="",I73=""),"",H73*I73*(1+J73))</x:f>
        <x:v>1.6480000000000001</x:v>
      </x:c>
      <x:c r="L73" s="18" t="n">
        <x:v>0.906</x:v>
      </x:c>
      <x:c r="M73" s="18" t="n">
        <x:v>0.136</x:v>
      </x:c>
      <x:c r="N73" s="18" t="n">
        <x:f>IF(L73="","",L73-M73)</x:f>
        <x:v>0.77</x:v>
      </x:c>
      <x:c r="O73" s="17" t="str">
        <x:v>部分到料</x:v>
      </x:c>
      <x:c r="P73" s="17" t="str">
        <x:v>不合格</x:v>
      </x:c>
      <x:c r="Q73" s="17" t="str">
        <x:v>横机</x:v>
      </x:c>
      <x:c r="R73" s="20" t="str">
        <x:v>2026-01-10</x:v>
      </x:c>
      <x:c r="S73" s="17" t="str">
        <x:v>生产/横机</x:v>
      </x:c>
      <x:c r="T73" s="17" t="str">
        <x:f>IF(P73="不合格","质检异常",IF(N73&lt;0,"负库存",IF(N73&lt;K73,"缺料",IF(AND(R73&lt;&gt;"",R73&lt;=DATE(2026,7,16),O73&lt;&gt;"已到齐"),"船期风险","正常"))))</x:f>
        <x:v>质检异常</x:v>
      </x:c>
      <x:c r="U73" s="17" t="str">
        <x:f>IF(T73="缺料","采购确认到料/替代料",IF(T73="质检异常","质检判定/退换货",IF(T73="负库存","仓库复盘库存",IF(T73="船期风险","生产排产复核","按计划执行"))))</x:f>
        <x:v>质检判定/退换货</x:v>
      </x:c>
    </x:row>
    <x:row r="74">
      <x:c r="A74" s="17" t="str">
        <x:v>SO250827-428</x:v>
      </x:c>
      <x:c r="B74" s="17" t="str">
        <x:v>CH12-1268</x:v>
      </x:c>
      <x:c r="C74" s="17" t="str">
        <x:v>女士绣花PO衫</x:v>
      </x:c>
      <x:c r="D74" s="17" t="str">
        <x:v>本村</x:v>
      </x:c>
      <x:c r="E74" s="17" t="str">
        <x:v>纱线</x:v>
      </x:c>
      <x:c r="F74" s="17" t="str">
        <x:v>高弹丝</x:v>
      </x:c>
      <x:c r="G74" s="17" t="str">
        <x:v>M</x:v>
      </x:c>
      <x:c r="H74" s="18" t="n">
        <x:v>80</x:v>
      </x:c>
      <x:c r="I74" s="18" t="n">
        <x:v>0.019</x:v>
      </x:c>
      <x:c r="J74" s="19" t="n">
        <x:v>0.03</x:v>
      </x:c>
      <x:c r="K74" s="18" t="n">
        <x:f>IF(OR(H74="",I74=""),"",H74*I74*(1+J74))</x:f>
        <x:v>1.5656</x:v>
      </x:c>
      <x:c r="L74" s="18" t="n">
        <x:v>1.566</x:v>
      </x:c>
      <x:c r="M74" s="18" t="n">
        <x:v>0.705</x:v>
      </x:c>
      <x:c r="N74" s="18" t="n">
        <x:f>IF(L74="","",L74-M74)</x:f>
        <x:v>0.8610000000000001</x:v>
      </x:c>
      <x:c r="O74" s="17" t="str">
        <x:v>已到齐</x:v>
      </x:c>
      <x:c r="P74" s="17" t="str">
        <x:v>合格</x:v>
      </x:c>
      <x:c r="Q74" s="17" t="str">
        <x:v>横机</x:v>
      </x:c>
      <x:c r="R74" s="20" t="str">
        <x:v>2026-01-10</x:v>
      </x:c>
      <x:c r="S74" s="17" t="str">
        <x:v>生产/横机</x:v>
      </x:c>
      <x:c r="T74" s="17" t="str">
        <x:f>IF(P74="不合格","质检异常",IF(N74&lt;0,"负库存",IF(N74&lt;K74,"缺料",IF(AND(R74&lt;&gt;"",R74&lt;=DATE(2026,7,16),O74&lt;&gt;"已到齐"),"船期风险","正常"))))</x:f>
        <x:v>缺料</x:v>
      </x:c>
      <x:c r="U74" s="17" t="str">
        <x:f>IF(T74="缺料","采购确认到料/替代料",IF(T74="质检异常","质检判定/退换货",IF(T74="负库存","仓库复盘库存",IF(T74="船期风险","生产排产复核","按计划执行"))))</x:f>
        <x:v>采购确认到料/替代料</x:v>
      </x:c>
    </x:row>
    <x:row r="75">
      <x:c r="A75" s="17" t="str">
        <x:v>SO250827-428</x:v>
      </x:c>
      <x:c r="B75" s="17" t="str">
        <x:v>CH12-1268</x:v>
      </x:c>
      <x:c r="C75" s="17" t="str">
        <x:v>女士绣花PO衫</x:v>
      </x:c>
      <x:c r="D75" s="17" t="str">
        <x:v>本村</x:v>
      </x:c>
      <x:c r="E75" s="17" t="str">
        <x:v>面料</x:v>
      </x:c>
      <x:c r="F75" s="17" t="str">
        <x:v>面料F00370</x:v>
      </x:c>
      <x:c r="G75" s="17" t="str">
        <x:v>M</x:v>
      </x:c>
      <x:c r="H75" s="18" t="n">
        <x:v>80</x:v>
      </x:c>
      <x:c r="I75" s="18" t="n">
        <x:v>0.67</x:v>
      </x:c>
      <x:c r="J75" s="19" t="n">
        <x:v>0.05</x:v>
      </x:c>
      <x:c r="K75" s="18" t="n">
        <x:f>IF(OR(H75="",I75=""),"",H75*I75*(1+J75))</x:f>
        <x:v>56.28</x:v>
      </x:c>
      <x:c r="L75" s="18" t="n">
        <x:v>14.07</x:v>
      </x:c>
      <x:c r="M75" s="18" t="n">
        <x:v>2.111</x:v>
      </x:c>
      <x:c r="N75" s="18" t="n">
        <x:f>IF(L75="","",L75-M75)</x:f>
        <x:v>11.959</x:v>
      </x:c>
      <x:c r="O75" s="17" t="str">
        <x:v>部分到料</x:v>
      </x:c>
      <x:c r="P75" s="17" t="str">
        <x:v>合格</x:v>
      </x:c>
      <x:c r="Q75" s="17" t="str">
        <x:v>裁剪</x:v>
      </x:c>
      <x:c r="R75" s="20" t="str">
        <x:v>2026-01-10</x:v>
      </x:c>
      <x:c r="S75" s="17" t="str">
        <x:v>仓库/裁剪</x:v>
      </x:c>
      <x:c r="T75" s="17" t="str">
        <x:f>IF(P75="不合格","质检异常",IF(N75&lt;0,"负库存",IF(N75&lt;K75,"缺料",IF(AND(R75&lt;&gt;"",R75&lt;=DATE(2026,7,16),O75&lt;&gt;"已到齐"),"船期风险","正常"))))</x:f>
        <x:v>缺料</x:v>
      </x:c>
      <x:c r="U75" s="17" t="str">
        <x:f>IF(T75="缺料","采购确认到料/替代料",IF(T75="质检异常","质检判定/退换货",IF(T75="负库存","仓库复盘库存",IF(T75="船期风险","生产排产复核","按计划执行"))))</x:f>
        <x:v>采购确认到料/替代料</x:v>
      </x:c>
    </x:row>
    <x:row r="76">
      <x:c r="A76" s="17" t="str">
        <x:v>SO250827-428</x:v>
      </x:c>
      <x:c r="B76" s="17" t="str">
        <x:v>CH12-1268</x:v>
      </x:c>
      <x:c r="C76" s="17" t="str">
        <x:v>女士绣花PO衫</x:v>
      </x:c>
      <x:c r="D76" s="17" t="str">
        <x:v>本村</x:v>
      </x:c>
      <x:c r="E76" s="17" t="str">
        <x:v>面料</x:v>
      </x:c>
      <x:c r="F76" s="17" t="str">
        <x:v>面料F00371</x:v>
      </x:c>
      <x:c r="G76" s="17" t="str">
        <x:v>M</x:v>
      </x:c>
      <x:c r="H76" s="18" t="n">
        <x:v>80</x:v>
      </x:c>
      <x:c r="I76" s="18" t="n">
        <x:v>0.67</x:v>
      </x:c>
      <x:c r="J76" s="19" t="n">
        <x:v>0.05</x:v>
      </x:c>
      <x:c r="K76" s="18" t="n">
        <x:f>IF(OR(H76="",I76=""),"",H76*I76*(1+J76))</x:f>
        <x:v>56.28</x:v>
      </x:c>
      <x:c r="L76" s="18" t="n">
        <x:v>56.28</x:v>
      </x:c>
      <x:c r="M76" s="18" t="n">
        <x:v>8.442</x:v>
      </x:c>
      <x:c r="N76" s="18" t="n">
        <x:f>IF(L76="","",L76-M76)</x:f>
        <x:v>47.838</x:v>
      </x:c>
      <x:c r="O76" s="17" t="str">
        <x:v>已到齐</x:v>
      </x:c>
      <x:c r="P76" s="17" t="str">
        <x:v>合格</x:v>
      </x:c>
      <x:c r="Q76" s="17" t="str">
        <x:v>裁剪</x:v>
      </x:c>
      <x:c r="R76" s="20" t="str">
        <x:v>2026-01-10</x:v>
      </x:c>
      <x:c r="S76" s="17" t="str">
        <x:v>仓库/裁剪</x:v>
      </x:c>
      <x:c r="T76" s="17" t="str">
        <x:f>IF(P76="不合格","质检异常",IF(N76&lt;0,"负库存",IF(N76&lt;K76,"缺料",IF(AND(R76&lt;&gt;"",R76&lt;=DATE(2026,7,16),O76&lt;&gt;"已到齐"),"船期风险","正常"))))</x:f>
        <x:v>缺料</x:v>
      </x:c>
      <x:c r="U76" s="17" t="str">
        <x:f>IF(T76="缺料","采购确认到料/替代料",IF(T76="质检异常","质检判定/退换货",IF(T76="负库存","仓库复盘库存",IF(T76="船期风险","生产排产复核","按计划执行"))))</x:f>
        <x:v>采购确认到料/替代料</x:v>
      </x:c>
    </x:row>
    <x:row r="77">
      <x:c r="A77" s="17" t="str">
        <x:v>SO250828-429</x:v>
      </x:c>
      <x:c r="B77" s="17" t="str">
        <x:v>CH02-1269</x:v>
      </x:c>
      <x:c r="C77" s="17" t="str">
        <x:v>男士绣花T恤</x:v>
      </x:c>
      <x:c r="D77" s="17" t="str">
        <x:v>本村</x:v>
      </x:c>
      <x:c r="E77" s="17" t="str">
        <x:v>面料</x:v>
      </x:c>
      <x:c r="F77" s="17" t="str">
        <x:v>面料F03861</x:v>
      </x:c>
      <x:c r="G77" s="17" t="str">
        <x:v>M</x:v>
      </x:c>
      <x:c r="H77" s="18" t="n">
        <x:v>378</x:v>
      </x:c>
      <x:c r="I77" s="18" t="n">
        <x:v>0.73</x:v>
      </x:c>
      <x:c r="J77" s="19" t="n">
        <x:v>0.05</x:v>
      </x:c>
      <x:c r="K77" s="18" t="n">
        <x:f>IF(OR(H77="",I77=""),"",H77*I77*(1+J77))</x:f>
        <x:v>289.737</x:v>
      </x:c>
      <x:c r="L77" s="18" t="n">
        <x:v>159.355</x:v>
      </x:c>
      <x:c r="M77" s="18" t="n">
        <x:v>71.71</x:v>
      </x:c>
      <x:c r="N77" s="18" t="n">
        <x:f>IF(L77="","",L77-M77)</x:f>
        <x:v>87.645</x:v>
      </x:c>
      <x:c r="O77" s="17" t="str">
        <x:v>部分到料</x:v>
      </x:c>
      <x:c r="P77" s="17" t="str">
        <x:v>合格</x:v>
      </x:c>
      <x:c r="Q77" s="17" t="str">
        <x:v>裁剪</x:v>
      </x:c>
      <x:c r="R77" s="20" t="str">
        <x:v>2026-01-10</x:v>
      </x:c>
      <x:c r="S77" s="17" t="str">
        <x:v>仓库/裁剪</x:v>
      </x:c>
      <x:c r="T77" s="17" t="str">
        <x:f>IF(P77="不合格","质检异常",IF(N77&lt;0,"负库存",IF(N77&lt;K77,"缺料",IF(AND(R77&lt;&gt;"",R77&lt;=DATE(2026,7,16),O77&lt;&gt;"已到齐"),"船期风险","正常"))))</x:f>
        <x:v>缺料</x:v>
      </x:c>
      <x:c r="U77" s="17" t="str">
        <x:f>IF(T77="缺料","采购确认到料/替代料",IF(T77="质检异常","质检判定/退换货",IF(T77="负库存","仓库复盘库存",IF(T77="船期风险","生产排产复核","按计划执行"))))</x:f>
        <x:v>采购确认到料/替代料</x:v>
      </x:c>
    </x:row>
    <x:row r="78">
      <x:c r="A78" s="17" t="str">
        <x:v>SO250828-429</x:v>
      </x:c>
      <x:c r="B78" s="17" t="str">
        <x:v>CH02-1269</x:v>
      </x:c>
      <x:c r="C78" s="17" t="str">
        <x:v>男士绣花T恤</x:v>
      </x:c>
      <x:c r="D78" s="17" t="str">
        <x:v>本村</x:v>
      </x:c>
      <x:c r="E78" s="17" t="str">
        <x:v>面料</x:v>
      </x:c>
      <x:c r="F78" s="17" t="str">
        <x:v>1*1罗文</x:v>
      </x:c>
      <x:c r="G78" s="17" t="str">
        <x:v>M</x:v>
      </x:c>
      <x:c r="H78" s="18" t="n">
        <x:v>378</x:v>
      </x:c>
      <x:c r="I78" s="18" t="n">
        <x:v>0.03</x:v>
      </x:c>
      <x:c r="J78" s="19" t="n">
        <x:v>0.05</x:v>
      </x:c>
      <x:c r="K78" s="18" t="n">
        <x:f>IF(OR(H78="",I78=""),"",H78*I78*(1+J78))</x:f>
        <x:v>11.907</x:v>
      </x:c>
      <x:c r="L78" s="18" t="n">
        <x:v>11.907</x:v>
      </x:c>
      <x:c r="M78" s="18" t="n">
        <x:v>1.786</x:v>
      </x:c>
      <x:c r="N78" s="18" t="n">
        <x:f>IF(L78="","",L78-M78)</x:f>
        <x:v>10.121</x:v>
      </x:c>
      <x:c r="O78" s="17" t="str">
        <x:v>已到齐</x:v>
      </x:c>
      <x:c r="P78" s="17" t="str">
        <x:v>合格</x:v>
      </x:c>
      <x:c r="Q78" s="17" t="str">
        <x:v>裁剪</x:v>
      </x:c>
      <x:c r="R78" s="20" t="str">
        <x:v>2026-01-10</x:v>
      </x:c>
      <x:c r="S78" s="17" t="str">
        <x:v>仓库/裁剪</x:v>
      </x:c>
      <x:c r="T78" s="17" t="str">
        <x:f>IF(P78="不合格","质检异常",IF(N78&lt;0,"负库存",IF(N78&lt;K78,"缺料",IF(AND(R78&lt;&gt;"",R78&lt;=DATE(2026,7,16),O78&lt;&gt;"已到齐"),"船期风险","正常"))))</x:f>
        <x:v>缺料</x:v>
      </x:c>
      <x:c r="U78" s="17" t="str">
        <x:f>IF(T78="缺料","采购确认到料/替代料",IF(T78="质检异常","质检判定/退换货",IF(T78="负库存","仓库复盘库存",IF(T78="船期风险","生产排产复核","按计划执行"))))</x:f>
        <x:v>采购确认到料/替代料</x:v>
      </x:c>
    </x:row>
    <x:row r="79">
      <x:c r="A79" s="17" t="str">
        <x:v>SO250828-430</x:v>
      </x:c>
      <x:c r="B79" s="17" t="str">
        <x:v>CH12-1269</x:v>
      </x:c>
      <x:c r="C79" s="17" t="str">
        <x:v>女士绣花T恤</x:v>
      </x:c>
      <x:c r="D79" s="17" t="str">
        <x:v>本村</x:v>
      </x:c>
      <x:c r="E79" s="17" t="str">
        <x:v>面料</x:v>
      </x:c>
      <x:c r="F79" s="17" t="str">
        <x:v>面料F03861</x:v>
      </x:c>
      <x:c r="G79" s="17" t="str">
        <x:v>M</x:v>
      </x:c>
      <x:c r="H79" s="18" t="n">
        <x:v>87</x:v>
      </x:c>
      <x:c r="I79" s="18" t="n">
        <x:v>0.65</x:v>
      </x:c>
      <x:c r="J79" s="19" t="n">
        <x:v>0.05</x:v>
      </x:c>
      <x:c r="K79" s="18" t="n">
        <x:f>IF(OR(H79="",I79=""),"",H79*I79*(1+J79))</x:f>
        <x:v>59.377500000000005</x:v>
      </x:c>
      <x:c r="L79" s="18" t="n">
        <x:v>59.378</x:v>
      </x:c>
      <x:c r="M79" s="18" t="n">
        <x:v>8.907</x:v>
      </x:c>
      <x:c r="N79" s="18" t="n">
        <x:f>IF(L79="","",L79-M79)</x:f>
        <x:v>50.471000000000004</x:v>
      </x:c>
      <x:c r="O79" s="17" t="str">
        <x:v>已到齐</x:v>
      </x:c>
      <x:c r="P79" s="17" t="str">
        <x:v>合格</x:v>
      </x:c>
      <x:c r="Q79" s="17" t="str">
        <x:v>裁剪</x:v>
      </x:c>
      <x:c r="R79" s="20" t="str">
        <x:v>2026-01-10</x:v>
      </x:c>
      <x:c r="S79" s="17" t="str">
        <x:v>仓库/裁剪</x:v>
      </x:c>
      <x:c r="T79" s="17" t="str">
        <x:f>IF(P79="不合格","质检异常",IF(N79&lt;0,"负库存",IF(N79&lt;K79,"缺料",IF(AND(R79&lt;&gt;"",R79&lt;=DATE(2026,7,16),O79&lt;&gt;"已到齐"),"船期风险","正常"))))</x:f>
        <x:v>缺料</x:v>
      </x:c>
      <x:c r="U79" s="17" t="str">
        <x:f>IF(T79="缺料","采购确认到料/替代料",IF(T79="质检异常","质检判定/退换货",IF(T79="负库存","仓库复盘库存",IF(T79="船期风险","生产排产复核","按计划执行"))))</x:f>
        <x:v>采购确认到料/替代料</x:v>
      </x:c>
    </x:row>
    <x:row r="80">
      <x:c r="A80" s="17" t="str">
        <x:v>SO250828-430</x:v>
      </x:c>
      <x:c r="B80" s="17" t="str">
        <x:v>CH12-1269</x:v>
      </x:c>
      <x:c r="C80" s="17" t="str">
        <x:v>女士绣花T恤</x:v>
      </x:c>
      <x:c r="D80" s="17" t="str">
        <x:v>本村</x:v>
      </x:c>
      <x:c r="E80" s="17" t="str">
        <x:v>面料</x:v>
      </x:c>
      <x:c r="F80" s="17" t="str">
        <x:v>1*1罗文</x:v>
      </x:c>
      <x:c r="G80" s="17" t="str">
        <x:v>M</x:v>
      </x:c>
      <x:c r="H80" s="18" t="n">
        <x:v>87</x:v>
      </x:c>
      <x:c r="I80" s="18" t="n">
        <x:v>0.03</x:v>
      </x:c>
      <x:c r="J80" s="19" t="n">
        <x:v>0.05</x:v>
      </x:c>
      <x:c r="K80" s="18" t="n">
        <x:f>IF(OR(H80="",I80=""),"",H80*I80*(1+J80))</x:f>
        <x:v>2.7405</x:v>
      </x:c>
      <x:c r="L80" s="18" t="n">
        <x:v>0.685</x:v>
      </x:c>
      <x:c r="M80" s="18" t="n">
        <x:v>0.308</x:v>
      </x:c>
      <x:c r="N80" s="18" t="n">
        <x:f>IF(L80="","",L80-M80)</x:f>
        <x:v>0.37700000000000006</x:v>
      </x:c>
      <x:c r="O80" s="17" t="str">
        <x:v>部分到料</x:v>
      </x:c>
      <x:c r="P80" s="17" t="str">
        <x:v>合格</x:v>
      </x:c>
      <x:c r="Q80" s="17" t="str">
        <x:v>裁剪</x:v>
      </x:c>
      <x:c r="R80" s="20" t="str">
        <x:v>2026-01-10</x:v>
      </x:c>
      <x:c r="S80" s="17" t="str">
        <x:v>仓库/裁剪</x:v>
      </x:c>
      <x:c r="T80" s="17" t="str">
        <x:f>IF(P80="不合格","质检异常",IF(N80&lt;0,"负库存",IF(N80&lt;K80,"缺料",IF(AND(R80&lt;&gt;"",R80&lt;=DATE(2026,7,16),O80&lt;&gt;"已到齐"),"船期风险","正常"))))</x:f>
        <x:v>缺料</x:v>
      </x:c>
      <x:c r="U80" s="17" t="str">
        <x:f>IF(T80="缺料","采购确认到料/替代料",IF(T80="质检异常","质检判定/退换货",IF(T80="负库存","仓库复盘库存",IF(T80="船期风险","生产排产复核","按计划执行"))))</x:f>
        <x:v>采购确认到料/替代料</x:v>
      </x:c>
    </x:row>
    <x:row r="81">
      <x:c r="A81" s="17" t="str">
        <x:v>SO250828-431</x:v>
      </x:c>
      <x:c r="B81" s="17" t="str">
        <x:v>CH02-1270</x:v>
      </x:c>
      <x:c r="C81" s="17" t="str">
        <x:v>男士绣花PO衫</x:v>
      </x:c>
      <x:c r="D81" s="17" t="str">
        <x:v>本村</x:v>
      </x:c>
      <x:c r="E81" s="17" t="str">
        <x:v>面料</x:v>
      </x:c>
      <x:c r="F81" s="17" t="str">
        <x:v>面料F03861</x:v>
      </x:c>
      <x:c r="G81" s="17" t="str">
        <x:v>M</x:v>
      </x:c>
      <x:c r="H81" s="18" t="n">
        <x:v>3295</x:v>
      </x:c>
      <x:c r="I81" s="18" t="n">
        <x:v>0.6</x:v>
      </x:c>
      <x:c r="J81" s="19" t="n">
        <x:v>0.05</x:v>
      </x:c>
      <x:c r="K81" s="18" t="n">
        <x:f>IF(OR(H81="",I81=""),"",H81*I81*(1+J81))</x:f>
        <x:v>2075.85</x:v>
      </x:c>
      <x:c r="L81" s="18" t="n">
        <x:v>1141.718</x:v>
      </x:c>
      <x:c r="M81" s="18" t="n">
        <x:v>171.258</x:v>
      </x:c>
      <x:c r="N81" s="18" t="n">
        <x:f>IF(L81="","",L81-M81)</x:f>
        <x:v>970.46</x:v>
      </x:c>
      <x:c r="O81" s="17" t="str">
        <x:v>部分到料</x:v>
      </x:c>
      <x:c r="P81" s="17" t="str">
        <x:v>合格</x:v>
      </x:c>
      <x:c r="Q81" s="17" t="str">
        <x:v>裁剪</x:v>
      </x:c>
      <x:c r="R81" s="20" t="str">
        <x:v>2026-01-10</x:v>
      </x:c>
      <x:c r="S81" s="17" t="str">
        <x:v>仓库/裁剪</x:v>
      </x:c>
      <x:c r="T81" s="17" t="str">
        <x:f>IF(P81="不合格","质检异常",IF(N81&lt;0,"负库存",IF(N81&lt;K81,"缺料",IF(AND(R81&lt;&gt;"",R81&lt;=DATE(2026,7,16),O81&lt;&gt;"已到齐"),"船期风险","正常"))))</x:f>
        <x:v>缺料</x:v>
      </x:c>
      <x:c r="U81" s="17" t="str">
        <x:f>IF(T81="缺料","采购确认到料/替代料",IF(T81="质检异常","质检判定/退换货",IF(T81="负库存","仓库复盘库存",IF(T81="船期风险","生产排产复核","按计划执行"))))</x:f>
        <x:v>采购确认到料/替代料</x:v>
      </x:c>
    </x:row>
    <x:row r="82">
      <x:c r="A82" s="17" t="str">
        <x:v>SO250828-431</x:v>
      </x:c>
      <x:c r="B82" s="17" t="str">
        <x:v>CH02-1270</x:v>
      </x:c>
      <x:c r="C82" s="17" t="str">
        <x:v>男士绣花PO衫</x:v>
      </x:c>
      <x:c r="D82" s="17" t="str">
        <x:v>本村</x:v>
      </x:c>
      <x:c r="E82" s="17" t="str">
        <x:v>纱线</x:v>
      </x:c>
      <x:c r="F82" s="17" t="str">
        <x:v>21支双纱</x:v>
      </x:c>
      <x:c r="G82" s="17" t="str">
        <x:v>KG</x:v>
      </x:c>
      <x:c r="H82" s="18" t="n">
        <x:v>3295</x:v>
      </x:c>
      <x:c r="I82" s="18" t="n">
        <x:v>0.038</x:v>
      </x:c>
      <x:c r="J82" s="19" t="n">
        <x:v>0.03</x:v>
      </x:c>
      <x:c r="K82" s="18" t="n">
        <x:f>IF(OR(H82="",I82=""),"",H82*I82*(1+J82))</x:f>
        <x:v>128.9663</x:v>
      </x:c>
      <x:c r="L82" s="18" t="n">
        <x:v>128.966</x:v>
      </x:c>
      <x:c r="M82" s="18" t="n">
        <x:v>19.345</x:v>
      </x:c>
      <x:c r="N82" s="18" t="n">
        <x:f>IF(L82="","",L82-M82)</x:f>
        <x:v>109.62100000000001</x:v>
      </x:c>
      <x:c r="O82" s="17" t="str">
        <x:v>已到齐</x:v>
      </x:c>
      <x:c r="P82" s="17" t="str">
        <x:v>待检</x:v>
      </x:c>
      <x:c r="Q82" s="17" t="str">
        <x:v>横机</x:v>
      </x:c>
      <x:c r="R82" s="20" t="str">
        <x:v>2026-01-10</x:v>
      </x:c>
      <x:c r="S82" s="17" t="str">
        <x:v>生产/横机</x:v>
      </x:c>
      <x:c r="T82" s="17" t="str">
        <x:f>IF(P82="不合格","质检异常",IF(N82&lt;0,"负库存",IF(N82&lt;K82,"缺料",IF(AND(R82&lt;&gt;"",R82&lt;=DATE(2026,7,16),O82&lt;&gt;"已到齐"),"船期风险","正常"))))</x:f>
        <x:v>缺料</x:v>
      </x:c>
      <x:c r="U82" s="17" t="str">
        <x:f>IF(T82="缺料","采购确认到料/替代料",IF(T82="质检异常","质检判定/退换货",IF(T82="负库存","仓库复盘库存",IF(T82="船期风险","生产排产复核","按计划执行"))))</x:f>
        <x:v>采购确认到料/替代料</x:v>
      </x:c>
    </x:row>
    <x:row r="83">
      <x:c r="A83" s="17" t="str">
        <x:v>SO250828-431</x:v>
      </x:c>
      <x:c r="B83" s="17" t="str">
        <x:v>CH02-1270</x:v>
      </x:c>
      <x:c r="C83" s="17" t="str">
        <x:v>男士绣花PO衫</x:v>
      </x:c>
      <x:c r="D83" s="17" t="str">
        <x:v>本村</x:v>
      </x:c>
      <x:c r="E83" s="17" t="str">
        <x:v>纱线</x:v>
      </x:c>
      <x:c r="F83" s="17" t="str">
        <x:v>高弹丝</x:v>
      </x:c>
      <x:c r="G83" s="17" t="str">
        <x:v>M</x:v>
      </x:c>
      <x:c r="H83" s="18" t="n">
        <x:v>3295</x:v>
      </x:c>
      <x:c r="I83" s="18" t="n">
        <x:v>0.012</x:v>
      </x:c>
      <x:c r="J83" s="19" t="n">
        <x:v>0.03</x:v>
      </x:c>
      <x:c r="K83" s="18" t="n">
        <x:f>IF(OR(H83="",I83=""),"",H83*I83*(1+J83))</x:f>
        <x:v>40.7262</x:v>
      </x:c>
      <x:c r="L83" s="18" t="n">
        <x:v>40.726</x:v>
      </x:c>
      <x:c r="M83" s="18" t="n">
        <x:v>18.327</x:v>
      </x:c>
      <x:c r="N83" s="18" t="n">
        <x:f>IF(L83="","",L83-M83)</x:f>
        <x:v>22.398999999999997</x:v>
      </x:c>
      <x:c r="O83" s="17" t="str">
        <x:v>已到齐</x:v>
      </x:c>
      <x:c r="P83" s="17" t="str">
        <x:v>合格</x:v>
      </x:c>
      <x:c r="Q83" s="17" t="str">
        <x:v>横机</x:v>
      </x:c>
      <x:c r="R83" s="20" t="str">
        <x:v>2026-01-10</x:v>
      </x:c>
      <x:c r="S83" s="17" t="str">
        <x:v>生产/横机</x:v>
      </x:c>
      <x:c r="T83" s="17" t="str">
        <x:f>IF(P83="不合格","质检异常",IF(N83&lt;0,"负库存",IF(N83&lt;K83,"缺料",IF(AND(R83&lt;&gt;"",R83&lt;=DATE(2026,7,16),O83&lt;&gt;"已到齐"),"船期风险","正常"))))</x:f>
        <x:v>缺料</x:v>
      </x:c>
      <x:c r="U83" s="17" t="str">
        <x:f>IF(T83="缺料","采购确认到料/替代料",IF(T83="质检异常","质检判定/退换货",IF(T83="负库存","仓库复盘库存",IF(T83="船期风险","生产排产复核","按计划执行"))))</x:f>
        <x:v>采购确认到料/替代料</x:v>
      </x:c>
    </x:row>
    <x:row r="84">
      <x:c r="A84" s="17" t="str">
        <x:v>SO250828-431</x:v>
      </x:c>
      <x:c r="B84" s="17" t="str">
        <x:v>CH02-1270</x:v>
      </x:c>
      <x:c r="C84" s="17" t="str">
        <x:v>男士绣花PO衫</x:v>
      </x:c>
      <x:c r="D84" s="17" t="str">
        <x:v>本村</x:v>
      </x:c>
      <x:c r="E84" s="17" t="str">
        <x:v>面料</x:v>
      </x:c>
      <x:c r="F84" s="17" t="str">
        <x:v>面料F00372</x:v>
      </x:c>
      <x:c r="G84" s="17" t="str">
        <x:v>M</x:v>
      </x:c>
      <x:c r="H84" s="18" t="n">
        <x:v>3295</x:v>
      </x:c>
      <x:c r="I84" s="18" t="n">
        <x:v>0.6</x:v>
      </x:c>
      <x:c r="J84" s="19" t="n">
        <x:v>0.05</x:v>
      </x:c>
      <x:c r="K84" s="18" t="n">
        <x:f>IF(OR(H84="",I84=""),"",H84*I84*(1+J84))</x:f>
        <x:v>2075.85</x:v>
      </x:c>
      <x:c r="L84" s="18" t="n">
        <x:v>2075.85</x:v>
      </x:c>
      <x:c r="M84" s="18" t="n">
        <x:v>311.378</x:v>
      </x:c>
      <x:c r="N84" s="18" t="n">
        <x:f>IF(L84="","",L84-M84)</x:f>
        <x:v>1764.472</x:v>
      </x:c>
      <x:c r="O84" s="17" t="str">
        <x:v>已到齐</x:v>
      </x:c>
      <x:c r="P84" s="17" t="str">
        <x:v>合格</x:v>
      </x:c>
      <x:c r="Q84" s="17" t="str">
        <x:v>裁剪</x:v>
      </x:c>
      <x:c r="R84" s="20" t="str">
        <x:v>2026-01-10</x:v>
      </x:c>
      <x:c r="S84" s="17" t="str">
        <x:v>仓库/裁剪</x:v>
      </x:c>
      <x:c r="T84" s="17" t="str">
        <x:f>IF(P84="不合格","质检异常",IF(N84&lt;0,"负库存",IF(N84&lt;K84,"缺料",IF(AND(R84&lt;&gt;"",R84&lt;=DATE(2026,7,16),O84&lt;&gt;"已到齐"),"船期风险","正常"))))</x:f>
        <x:v>缺料</x:v>
      </x:c>
      <x:c r="U84" s="17" t="str">
        <x:f>IF(T84="缺料","采购确认到料/替代料",IF(T84="质检异常","质检判定/退换货",IF(T84="负库存","仓库复盘库存",IF(T84="船期风险","生产排产复核","按计划执行"))))</x:f>
        <x:v>采购确认到料/替代料</x:v>
      </x:c>
    </x:row>
    <x:row r="85">
      <x:c r="A85" s="17" t="str">
        <x:v>SO250828-431</x:v>
      </x:c>
      <x:c r="B85" s="17" t="str">
        <x:v>CH02-1270</x:v>
      </x:c>
      <x:c r="C85" s="17" t="str">
        <x:v>男士绣花PO衫</x:v>
      </x:c>
      <x:c r="D85" s="17" t="str">
        <x:v>本村</x:v>
      </x:c>
      <x:c r="E85" s="17" t="str">
        <x:v>面料</x:v>
      </x:c>
      <x:c r="F85" s="17" t="str">
        <x:v>面料F00373</x:v>
      </x:c>
      <x:c r="G85" s="17" t="str">
        <x:v>M</x:v>
      </x:c>
      <x:c r="H85" s="18" t="n">
        <x:v>3295</x:v>
      </x:c>
      <x:c r="I85" s="18" t="n">
        <x:v>0.6</x:v>
      </x:c>
      <x:c r="J85" s="19" t="n">
        <x:v>0.05</x:v>
      </x:c>
      <x:c r="K85" s="18" t="n">
        <x:f>IF(OR(H85="",I85=""),"",H85*I85*(1+J85))</x:f>
        <x:v>2075.85</x:v>
      </x:c>
      <x:c r="L85" s="18" t="n">
        <x:v>518.963</x:v>
      </x:c>
      <x:c r="M85" s="18" t="n">
        <x:v>77.844</x:v>
      </x:c>
      <x:c r="N85" s="18" t="n">
        <x:f>IF(L85="","",L85-M85)</x:f>
        <x:v>441.11899999999997</x:v>
      </x:c>
      <x:c r="O85" s="17" t="str">
        <x:v>部分到料</x:v>
      </x:c>
      <x:c r="P85" s="17" t="str">
        <x:v>合格</x:v>
      </x:c>
      <x:c r="Q85" s="17" t="str">
        <x:v>裁剪</x:v>
      </x:c>
      <x:c r="R85" s="20" t="str">
        <x:v>2026-01-10</x:v>
      </x:c>
      <x:c r="S85" s="17" t="str">
        <x:v>仓库/裁剪</x:v>
      </x:c>
      <x:c r="T85" s="17" t="str">
        <x:f>IF(P85="不合格","质检异常",IF(N85&lt;0,"负库存",IF(N85&lt;K85,"缺料",IF(AND(R85&lt;&gt;"",R85&lt;=DATE(2026,7,16),O85&lt;&gt;"已到齐"),"船期风险","正常"))))</x:f>
        <x:v>缺料</x:v>
      </x:c>
      <x:c r="U85" s="17" t="str">
        <x:f>IF(T85="缺料","采购确认到料/替代料",IF(T85="质检异常","质检判定/退换货",IF(T85="负库存","仓库复盘库存",IF(T85="船期风险","生产排产复核","按计划执行"))))</x:f>
        <x:v>采购确认到料/替代料</x:v>
      </x:c>
    </x:row>
    <x:row r="86">
      <x:c r="A86" s="17" t="str">
        <x:v>SO250828-432</x:v>
      </x:c>
      <x:c r="B86" s="17" t="str">
        <x:v>CH12-1270</x:v>
      </x:c>
      <x:c r="C86" s="17" t="str">
        <x:v>女士绣花PO衫</x:v>
      </x:c>
      <x:c r="D86" s="17" t="str">
        <x:v>本村</x:v>
      </x:c>
      <x:c r="E86" s="17" t="str">
        <x:v>面料</x:v>
      </x:c>
      <x:c r="F86" s="17" t="str">
        <x:v>面料F03861</x:v>
      </x:c>
      <x:c r="G86" s="17" t="str">
        <x:v>M</x:v>
      </x:c>
      <x:c r="H86" s="18" t="n">
        <x:v>206</x:v>
      </x:c>
      <x:c r="I86" s="18" t="n">
        <x:v>0.465</x:v>
      </x:c>
      <x:c r="J86" s="19" t="n">
        <x:v>0.05</x:v>
      </x:c>
      <x:c r="K86" s="18" t="n">
        <x:f>IF(OR(H86="",I86=""),"",H86*I86*(1+J86))</x:f>
        <x:v>100.57950000000001</x:v>
      </x:c>
      <x:c r="L86" s="18" t="n">
        <x:v>100.58</x:v>
      </x:c>
      <x:c r="M86" s="18" t="n">
        <x:v>45.261</x:v>
      </x:c>
      <x:c r="N86" s="18" t="n">
        <x:f>IF(L86="","",L86-M86)</x:f>
        <x:v>55.318999999999996</x:v>
      </x:c>
      <x:c r="O86" s="17" t="str">
        <x:v>已到齐</x:v>
      </x:c>
      <x:c r="P86" s="17" t="str">
        <x:v>合格</x:v>
      </x:c>
      <x:c r="Q86" s="17" t="str">
        <x:v>裁剪</x:v>
      </x:c>
      <x:c r="R86" s="20" t="str">
        <x:v>2026-01-10</x:v>
      </x:c>
      <x:c r="S86" s="17" t="str">
        <x:v>仓库/裁剪</x:v>
      </x:c>
      <x:c r="T86" s="17" t="str">
        <x:f>IF(P86="不合格","质检异常",IF(N86&lt;0,"负库存",IF(N86&lt;K86,"缺料",IF(AND(R86&lt;&gt;"",R86&lt;=DATE(2026,7,16),O86&lt;&gt;"已到齐"),"船期风险","正常"))))</x:f>
        <x:v>缺料</x:v>
      </x:c>
      <x:c r="U86" s="17" t="str">
        <x:f>IF(T86="缺料","采购确认到料/替代料",IF(T86="质检异常","质检判定/退换货",IF(T86="负库存","仓库复盘库存",IF(T86="船期风险","生产排产复核","按计划执行"))))</x:f>
        <x:v>采购确认到料/替代料</x:v>
      </x:c>
    </x:row>
    <x:row r="87">
      <x:c r="A87" s="17" t="str">
        <x:v>SO250828-432</x:v>
      </x:c>
      <x:c r="B87" s="17" t="str">
        <x:v>CH12-1270</x:v>
      </x:c>
      <x:c r="C87" s="17" t="str">
        <x:v>女士绣花PO衫</x:v>
      </x:c>
      <x:c r="D87" s="17" t="str">
        <x:v>本村</x:v>
      </x:c>
      <x:c r="E87" s="17" t="str">
        <x:v>纱线</x:v>
      </x:c>
      <x:c r="F87" s="17" t="str">
        <x:v>21支双纱</x:v>
      </x:c>
      <x:c r="G87" s="17" t="str">
        <x:v>KG</x:v>
      </x:c>
      <x:c r="H87" s="18" t="n">
        <x:v>206</x:v>
      </x:c>
      <x:c r="I87" s="18" t="n">
        <x:v>0.034</x:v>
      </x:c>
      <x:c r="J87" s="19" t="n">
        <x:v>0.03</x:v>
      </x:c>
      <x:c r="K87" s="18" t="n">
        <x:f>IF(OR(H87="",I87=""),"",H87*I87*(1+J87))</x:f>
        <x:v>7.21412</x:v>
      </x:c>
      <x:c r="L87" s="18" t="n">
        <x:v>7.214</x:v>
      </x:c>
      <x:c r="M87" s="18" t="n">
        <x:v>1.082</x:v>
      </x:c>
      <x:c r="N87" s="18" t="n">
        <x:f>IF(L87="","",L87-M87)</x:f>
        <x:v>6.132000000000001</x:v>
      </x:c>
      <x:c r="O87" s="17" t="str">
        <x:v>已到齐</x:v>
      </x:c>
      <x:c r="P87" s="17" t="str">
        <x:v>合格</x:v>
      </x:c>
      <x:c r="Q87" s="17" t="str">
        <x:v>横机</x:v>
      </x:c>
      <x:c r="R87" s="20" t="str">
        <x:v>2026-01-10</x:v>
      </x:c>
      <x:c r="S87" s="17" t="str">
        <x:v>生产/横机</x:v>
      </x:c>
      <x:c r="T87" s="17" t="str">
        <x:f>IF(P87="不合格","质检异常",IF(N87&lt;0,"负库存",IF(N87&lt;K87,"缺料",IF(AND(R87&lt;&gt;"",R87&lt;=DATE(2026,7,16),O87&lt;&gt;"已到齐"),"船期风险","正常"))))</x:f>
        <x:v>缺料</x:v>
      </x:c>
      <x:c r="U87" s="17" t="str">
        <x:f>IF(T87="缺料","采购确认到料/替代料",IF(T87="质检异常","质检判定/退换货",IF(T87="负库存","仓库复盘库存",IF(T87="船期风险","生产排产复核","按计划执行"))))</x:f>
        <x:v>采购确认到料/替代料</x:v>
      </x:c>
    </x:row>
    <x:row r="88">
      <x:c r="A88" s="17" t="str">
        <x:v>SO250828-432</x:v>
      </x:c>
      <x:c r="B88" s="17" t="str">
        <x:v>CH12-1270</x:v>
      </x:c>
      <x:c r="C88" s="17" t="str">
        <x:v>女士绣花PO衫</x:v>
      </x:c>
      <x:c r="D88" s="17" t="str">
        <x:v>本村</x:v>
      </x:c>
      <x:c r="E88" s="17" t="str">
        <x:v>纱线</x:v>
      </x:c>
      <x:c r="F88" s="17" t="str">
        <x:v>高弹丝</x:v>
      </x:c>
      <x:c r="G88" s="17" t="str">
        <x:v>M</x:v>
      </x:c>
      <x:c r="H88" s="18" t="n">
        <x:v>206</x:v>
      </x:c>
      <x:c r="I88" s="18" t="n">
        <x:v>0.01</x:v>
      </x:c>
      <x:c r="J88" s="19" t="n">
        <x:v>0.03</x:v>
      </x:c>
      <x:c r="K88" s="18" t="n">
        <x:f>IF(OR(H88="",I88=""),"",H88*I88*(1+J88))</x:f>
        <x:v>2.1218</x:v>
      </x:c>
      <x:c r="L88" s="18" t="n">
        <x:v>2.122</x:v>
      </x:c>
      <x:c r="M88" s="18" t="n">
        <x:v>0.318</x:v>
      </x:c>
      <x:c r="N88" s="18" t="n">
        <x:f>IF(L88="","",L88-M88)</x:f>
        <x:v>1.8039999999999998</x:v>
      </x:c>
      <x:c r="O88" s="17" t="str">
        <x:v>已到齐</x:v>
      </x:c>
      <x:c r="P88" s="17" t="str">
        <x:v>合格</x:v>
      </x:c>
      <x:c r="Q88" s="17" t="str">
        <x:v>横机</x:v>
      </x:c>
      <x:c r="R88" s="20" t="str">
        <x:v>2026-01-10</x:v>
      </x:c>
      <x:c r="S88" s="17" t="str">
        <x:v>生产/横机</x:v>
      </x:c>
      <x:c r="T88" s="17" t="str">
        <x:f>IF(P88="不合格","质检异常",IF(N88&lt;0,"负库存",IF(N88&lt;K88,"缺料",IF(AND(R88&lt;&gt;"",R88&lt;=DATE(2026,7,16),O88&lt;&gt;"已到齐"),"船期风险","正常"))))</x:f>
        <x:v>缺料</x:v>
      </x:c>
      <x:c r="U88" s="17" t="str">
        <x:f>IF(T88="缺料","采购确认到料/替代料",IF(T88="质检异常","质检判定/退换货",IF(T88="负库存","仓库复盘库存",IF(T88="船期风险","生产排产复核","按计划执行"))))</x:f>
        <x:v>采购确认到料/替代料</x:v>
      </x:c>
    </x:row>
    <x:row r="89">
      <x:c r="A89" s="17" t="str">
        <x:v>SO250828-432</x:v>
      </x:c>
      <x:c r="B89" s="17" t="str">
        <x:v>CH12-1270</x:v>
      </x:c>
      <x:c r="C89" s="17" t="str">
        <x:v>女士绣花PO衫</x:v>
      </x:c>
      <x:c r="D89" s="17" t="str">
        <x:v>本村</x:v>
      </x:c>
      <x:c r="E89" s="17" t="str">
        <x:v>面料</x:v>
      </x:c>
      <x:c r="F89" s="17" t="str">
        <x:v>面料F00374</x:v>
      </x:c>
      <x:c r="G89" s="17" t="str">
        <x:v>M</x:v>
      </x:c>
      <x:c r="H89" s="18" t="n">
        <x:v>206</x:v>
      </x:c>
      <x:c r="I89" s="18" t="n">
        <x:v>0.465</x:v>
      </x:c>
      <x:c r="J89" s="19" t="n">
        <x:v>0.05</x:v>
      </x:c>
      <x:c r="K89" s="18" t="n">
        <x:f>IF(OR(H89="",I89=""),"",H89*I89*(1+J89))</x:f>
        <x:v>100.57950000000001</x:v>
      </x:c>
      <x:c r="L89" s="18" t="n">
        <x:v>55.319</x:v>
      </x:c>
      <x:c r="M89" s="18" t="n">
        <x:v>24.894</x:v>
      </x:c>
      <x:c r="N89" s="18" t="n">
        <x:f>IF(L89="","",L89-M89)</x:f>
        <x:v>30.425000000000004</x:v>
      </x:c>
      <x:c r="O89" s="17" t="str">
        <x:v>部分到料</x:v>
      </x:c>
      <x:c r="P89" s="17" t="str">
        <x:v>合格</x:v>
      </x:c>
      <x:c r="Q89" s="17" t="str">
        <x:v>裁剪</x:v>
      </x:c>
      <x:c r="R89" s="20" t="str">
        <x:v>2026-01-10</x:v>
      </x:c>
      <x:c r="S89" s="17" t="str">
        <x:v>仓库/裁剪</x:v>
      </x:c>
      <x:c r="T89" s="17" t="str">
        <x:f>IF(P89="不合格","质检异常",IF(N89&lt;0,"负库存",IF(N89&lt;K89,"缺料",IF(AND(R89&lt;&gt;"",R89&lt;=DATE(2026,7,16),O89&lt;&gt;"已到齐"),"船期风险","正常"))))</x:f>
        <x:v>缺料</x:v>
      </x:c>
      <x:c r="U89" s="17" t="str">
        <x:f>IF(T89="缺料","采购确认到料/替代料",IF(T89="质检异常","质检判定/退换货",IF(T89="负库存","仓库复盘库存",IF(T89="船期风险","生产排产复核","按计划执行"))))</x:f>
        <x:v>采购确认到料/替代料</x:v>
      </x:c>
    </x:row>
    <x:row r="90">
      <x:c r="A90" s="17" t="str">
        <x:v>SO250828-432</x:v>
      </x:c>
      <x:c r="B90" s="17" t="str">
        <x:v>CH12-1270</x:v>
      </x:c>
      <x:c r="C90" s="17" t="str">
        <x:v>女士绣花PO衫</x:v>
      </x:c>
      <x:c r="D90" s="17" t="str">
        <x:v>本村</x:v>
      </x:c>
      <x:c r="E90" s="17" t="str">
        <x:v>面料</x:v>
      </x:c>
      <x:c r="F90" s="17" t="str">
        <x:v>面料F00375</x:v>
      </x:c>
      <x:c r="G90" s="17" t="str">
        <x:v>M</x:v>
      </x:c>
      <x:c r="H90" s="18" t="n">
        <x:v>206</x:v>
      </x:c>
      <x:c r="I90" s="18" t="n">
        <x:v>0.465</x:v>
      </x:c>
      <x:c r="J90" s="19" t="n">
        <x:v>0.05</x:v>
      </x:c>
      <x:c r="K90" s="18" t="n">
        <x:f>IF(OR(H90="",I90=""),"",H90*I90*(1+J90))</x:f>
        <x:v>100.57950000000001</x:v>
      </x:c>
      <x:c r="L90" s="18" t="n">
        <x:v>25.145</x:v>
      </x:c>
      <x:c r="M90" s="18" t="n">
        <x:v>3.772</x:v>
      </x:c>
      <x:c r="N90" s="18" t="n">
        <x:f>IF(L90="","",L90-M90)</x:f>
        <x:v>21.373</x:v>
      </x:c>
      <x:c r="O90" s="17" t="str">
        <x:v>部分到料</x:v>
      </x:c>
      <x:c r="P90" s="17" t="str">
        <x:v>不合格</x:v>
      </x:c>
      <x:c r="Q90" s="17" t="str">
        <x:v>裁剪</x:v>
      </x:c>
      <x:c r="R90" s="20" t="str">
        <x:v>2026-01-10</x:v>
      </x:c>
      <x:c r="S90" s="17" t="str">
        <x:v>仓库/裁剪</x:v>
      </x:c>
      <x:c r="T90" s="17" t="str">
        <x:f>IF(P90="不合格","质检异常",IF(N90&lt;0,"负库存",IF(N90&lt;K90,"缺料",IF(AND(R90&lt;&gt;"",R90&lt;=DATE(2026,7,16),O90&lt;&gt;"已到齐"),"船期风险","正常"))))</x:f>
        <x:v>质检异常</x:v>
      </x:c>
      <x:c r="U90" s="17" t="str">
        <x:f>IF(T90="缺料","采购确认到料/替代料",IF(T90="质检异常","质检判定/退换货",IF(T90="负库存","仓库复盘库存",IF(T90="船期风险","生产排产复核","按计划执行"))))</x:f>
        <x:v>质检判定/退换货</x:v>
      </x:c>
    </x:row>
    <x:row r="91">
      <x:c r="A91" s="17" t="str">
        <x:v>SO250828-433</x:v>
      </x:c>
      <x:c r="B91" s="17" t="str">
        <x:v>CH02-1271</x:v>
      </x:c>
      <x:c r="C91" s="17" t="str">
        <x:v>男士绣花立领衫</x:v>
      </x:c>
      <x:c r="D91" s="17" t="str">
        <x:v>本村</x:v>
      </x:c>
      <x:c r="E91" s="17" t="str">
        <x:v>面料</x:v>
      </x:c>
      <x:c r="F91" s="17" t="str">
        <x:v>面料F03861</x:v>
      </x:c>
      <x:c r="G91" s="17" t="str">
        <x:v>M</x:v>
      </x:c>
      <x:c r="H91" s="18" t="n">
        <x:v>1700</x:v>
      </x:c>
      <x:c r="I91" s="18" t="n">
        <x:v>0.625</x:v>
      </x:c>
      <x:c r="J91" s="19" t="n">
        <x:v>0.05</x:v>
      </x:c>
      <x:c r="K91" s="18" t="n">
        <x:f>IF(OR(H91="",I91=""),"",H91*I91*(1+J91))</x:f>
        <x:v>1115.625</x:v>
      </x:c>
      <x:c r="L91" s="18" t="n">
        <x:v>1115.625</x:v>
      </x:c>
      <x:c r="M91" s="18" t="n">
        <x:v>167.344</x:v>
      </x:c>
      <x:c r="N91" s="18" t="n">
        <x:f>IF(L91="","",L91-M91)</x:f>
        <x:v>948.281</x:v>
      </x:c>
      <x:c r="O91" s="17" t="str">
        <x:v>已到齐</x:v>
      </x:c>
      <x:c r="P91" s="17" t="str">
        <x:v>合格</x:v>
      </x:c>
      <x:c r="Q91" s="17" t="str">
        <x:v>裁剪</x:v>
      </x:c>
      <x:c r="R91" s="20" t="str">
        <x:v>2026-01-10</x:v>
      </x:c>
      <x:c r="S91" s="17" t="str">
        <x:v>仓库/裁剪</x:v>
      </x:c>
      <x:c r="T91" s="17" t="str">
        <x:f>IF(P91="不合格","质检异常",IF(N91&lt;0,"负库存",IF(N91&lt;K91,"缺料",IF(AND(R91&lt;&gt;"",R91&lt;=DATE(2026,7,16),O91&lt;&gt;"已到齐"),"船期风险","正常"))))</x:f>
        <x:v>缺料</x:v>
      </x:c>
      <x:c r="U91" s="17" t="str">
        <x:f>IF(T91="缺料","采购确认到料/替代料",IF(T91="质检异常","质检判定/退换货",IF(T91="负库存","仓库复盘库存",IF(T91="船期风险","生产排产复核","按计划执行"))))</x:f>
        <x:v>采购确认到料/替代料</x:v>
      </x:c>
    </x:row>
    <x:row r="92">
      <x:c r="A92" s="17" t="str">
        <x:v>SO250828-433</x:v>
      </x:c>
      <x:c r="B92" s="17" t="str">
        <x:v>CH02-1271</x:v>
      </x:c>
      <x:c r="C92" s="17" t="str">
        <x:v>男士绣花立领衫</x:v>
      </x:c>
      <x:c r="D92" s="17" t="str">
        <x:v>本村</x:v>
      </x:c>
      <x:c r="E92" s="17" t="str">
        <x:v>纱线</x:v>
      </x:c>
      <x:c r="F92" s="17" t="str">
        <x:v>21S双纱</x:v>
      </x:c>
      <x:c r="G92" s="17" t="str">
        <x:v>KG</x:v>
      </x:c>
      <x:c r="H92" s="18" t="n">
        <x:v>1700</x:v>
      </x:c>
      <x:c r="I92" s="18" t="n">
        <x:v>0.016</x:v>
      </x:c>
      <x:c r="J92" s="19" t="n">
        <x:v>0.03</x:v>
      </x:c>
      <x:c r="K92" s="18" t="n">
        <x:f>IF(OR(H92="",I92=""),"",H92*I92*(1+J92))</x:f>
        <x:v>28.016</x:v>
      </x:c>
      <x:c r="L92" s="18" t="n">
        <x:v>28.016</x:v>
      </x:c>
      <x:c r="M92" s="18" t="n">
        <x:v>12.607</x:v>
      </x:c>
      <x:c r="N92" s="18" t="n">
        <x:f>IF(L92="","",L92-M92)</x:f>
        <x:v>15.408999999999999</x:v>
      </x:c>
      <x:c r="O92" s="17" t="str">
        <x:v>已到齐</x:v>
      </x:c>
      <x:c r="P92" s="17" t="str">
        <x:v>合格</x:v>
      </x:c>
      <x:c r="Q92" s="17" t="str">
        <x:v>横机</x:v>
      </x:c>
      <x:c r="R92" s="20" t="str">
        <x:v>2026-01-10</x:v>
      </x:c>
      <x:c r="S92" s="17" t="str">
        <x:v>生产/横机</x:v>
      </x:c>
      <x:c r="T92" s="17" t="str">
        <x:f>IF(P92="不合格","质检异常",IF(N92&lt;0,"负库存",IF(N92&lt;K92,"缺料",IF(AND(R92&lt;&gt;"",R92&lt;=DATE(2026,7,16),O92&lt;&gt;"已到齐"),"船期风险","正常"))))</x:f>
        <x:v>缺料</x:v>
      </x:c>
      <x:c r="U92" s="17" t="str">
        <x:f>IF(T92="缺料","采购确认到料/替代料",IF(T92="质检异常","质检判定/退换货",IF(T92="负库存","仓库复盘库存",IF(T92="船期风险","生产排产复核","按计划执行"))))</x:f>
        <x:v>采购确认到料/替代料</x:v>
      </x:c>
    </x:row>
    <x:row r="93">
      <x:c r="A93" s="17" t="str">
        <x:v>SO250828-433</x:v>
      </x:c>
      <x:c r="B93" s="17" t="str">
        <x:v>CH02-1271</x:v>
      </x:c>
      <x:c r="C93" s="17" t="str">
        <x:v>男士绣花立领衫</x:v>
      </x:c>
      <x:c r="D93" s="17" t="str">
        <x:v>本村</x:v>
      </x:c>
      <x:c r="E93" s="17" t="str">
        <x:v>纱线</x:v>
      </x:c>
      <x:c r="F93" s="17" t="str">
        <x:v>高弹丝</x:v>
      </x:c>
      <x:c r="G93" s="17" t="str">
        <x:v>M</x:v>
      </x:c>
      <x:c r="H93" s="18" t="n">
        <x:v>1700</x:v>
      </x:c>
      <x:c r="I93" s="18" t="n">
        <x:v>0.005</x:v>
      </x:c>
      <x:c r="J93" s="19" t="n">
        <x:v>0.03</x:v>
      </x:c>
      <x:c r="K93" s="18" t="n">
        <x:f>IF(OR(H93="",I93=""),"",H93*I93*(1+J93))</x:f>
        <x:v>8.755</x:v>
      </x:c>
      <x:c r="L93" s="18" t="n">
        <x:v>4.815</x:v>
      </x:c>
      <x:c r="M93" s="18" t="n">
        <x:v>0.722</x:v>
      </x:c>
      <x:c r="N93" s="18" t="n">
        <x:f>IF(L93="","",L93-M93)</x:f>
        <x:v>4.093</x:v>
      </x:c>
      <x:c r="O93" s="17" t="str">
        <x:v>部分到料</x:v>
      </x:c>
      <x:c r="P93" s="17" t="str">
        <x:v>待检</x:v>
      </x:c>
      <x:c r="Q93" s="17" t="str">
        <x:v>横机</x:v>
      </x:c>
      <x:c r="R93" s="20" t="str">
        <x:v>2026-01-10</x:v>
      </x:c>
      <x:c r="S93" s="17" t="str">
        <x:v>生产/横机</x:v>
      </x:c>
      <x:c r="T93" s="17" t="str">
        <x:f>IF(P93="不合格","质检异常",IF(N93&lt;0,"负库存",IF(N93&lt;K93,"缺料",IF(AND(R93&lt;&gt;"",R93&lt;=DATE(2026,7,16),O93&lt;&gt;"已到齐"),"船期风险","正常"))))</x:f>
        <x:v>缺料</x:v>
      </x:c>
      <x:c r="U93" s="17" t="str">
        <x:f>IF(T93="缺料","采购确认到料/替代料",IF(T93="质检异常","质检判定/退换货",IF(T93="负库存","仓库复盘库存",IF(T93="船期风险","生产排产复核","按计划执行"))))</x:f>
        <x:v>采购确认到料/替代料</x:v>
      </x:c>
    </x:row>
    <x:row r="94">
      <x:c r="A94" s="17" t="str">
        <x:v>SO250828-433</x:v>
      </x:c>
      <x:c r="B94" s="17" t="str">
        <x:v>CH02-1271</x:v>
      </x:c>
      <x:c r="C94" s="17" t="str">
        <x:v>男士绣花立领衫</x:v>
      </x:c>
      <x:c r="D94" s="17" t="str">
        <x:v>本村</x:v>
      </x:c>
      <x:c r="E94" s="17" t="str">
        <x:v>面料</x:v>
      </x:c>
      <x:c r="F94" s="17" t="str">
        <x:v>面料F00376</x:v>
      </x:c>
      <x:c r="G94" s="17" t="str">
        <x:v>M</x:v>
      </x:c>
      <x:c r="H94" s="18" t="n">
        <x:v>1700</x:v>
      </x:c>
      <x:c r="I94" s="18" t="n">
        <x:v>0.625</x:v>
      </x:c>
      <x:c r="J94" s="19" t="n">
        <x:v>0.05</x:v>
      </x:c>
      <x:c r="K94" s="18" t="n">
        <x:f>IF(OR(H94="",I94=""),"",H94*I94*(1+J94))</x:f>
        <x:v>1115.625</x:v>
      </x:c>
      <x:c r="L94" s="18" t="n">
        <x:v>1115.625</x:v>
      </x:c>
      <x:c r="M94" s="18" t="n">
        <x:v>167.344</x:v>
      </x:c>
      <x:c r="N94" s="18" t="n">
        <x:f>IF(L94="","",L94-M94)</x:f>
        <x:v>948.281</x:v>
      </x:c>
      <x:c r="O94" s="17" t="str">
        <x:v>已到齐</x:v>
      </x:c>
      <x:c r="P94" s="17" t="str">
        <x:v>合格</x:v>
      </x:c>
      <x:c r="Q94" s="17" t="str">
        <x:v>裁剪</x:v>
      </x:c>
      <x:c r="R94" s="20" t="str">
        <x:v>2026-01-10</x:v>
      </x:c>
      <x:c r="S94" s="17" t="str">
        <x:v>仓库/裁剪</x:v>
      </x:c>
      <x:c r="T94" s="17" t="str">
        <x:f>IF(P94="不合格","质检异常",IF(N94&lt;0,"负库存",IF(N94&lt;K94,"缺料",IF(AND(R94&lt;&gt;"",R94&lt;=DATE(2026,7,16),O94&lt;&gt;"已到齐"),"船期风险","正常"))))</x:f>
        <x:v>缺料</x:v>
      </x:c>
      <x:c r="U94" s="17" t="str">
        <x:f>IF(T94="缺料","采购确认到料/替代料",IF(T94="质检异常","质检判定/退换货",IF(T94="负库存","仓库复盘库存",IF(T94="船期风险","生产排产复核","按计划执行"))))</x:f>
        <x:v>采购确认到料/替代料</x:v>
      </x:c>
    </x:row>
  </x:sheetData>
  <x:mergeCells>
    <x:mergeCell ref="A1:U1"/>
    <x:mergeCell ref="A3:U3"/>
  </x:mergeCells>
  <x:conditionalFormatting sqref="T5:T94">
    <x:cfRule type="containsText" dxfId="0" priority="1" operator="containsText" text="正常"/>
    <x:cfRule type="containsText" dxfId="1" priority="2" operator="containsText" text="缺料"/>
    <x:cfRule type="containsText" dxfId="2" priority="3" operator="containsText" text="船期风险"/>
    <x:cfRule type="containsText" dxfId="3" priority="4" operator="containsText" text="质检异常"/>
    <x:cfRule type="containsText" dxfId="4" priority="5" operator="containsText" text="负库存"/>
  </x:conditionalFormatting>
  <x:dataValidations count="4">
    <x:dataValidation type="list" sqref="E5:E94">
      <x:formula1>"纱线,面料,辅料"</x:formula1>
    </x:dataValidation>
    <x:dataValidation type="list" sqref="O5:O94">
      <x:formula1>"未下单,已下单,未到料,部分到料,已到齐,退换货"</x:formula1>
    </x:dataValidation>
    <x:dataValidation type="list" sqref="P5:P94">
      <x:formula1>"待检,合格,不合格,让步接收"</x:formula1>
    </x:dataValidation>
    <x:dataValidation type="list" sqref="Q5:Q94">
      <x:formula1>"横机,裁剪,缝制/后道,样衣"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e6073fee2642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3.75" hidden="0" customWidth="1"/>
    <x:col min="4" max="4" width="13.75" hidden="0" customWidth="1"/>
    <x:col min="5" max="5" width="15" hidden="0" customWidth="1"/>
  </x:cols>
  <x:sheetData>
    <x:row r="1" ht="27" customHeight="1">
      <x:c r="A1" s="4" t="str">
        <x:v>基础设置</x:v>
      </x:c>
      <x:c r="B1" s="4" t="str">
        <x:v>基础设置</x:v>
      </x:c>
      <x:c r="C1" s="4" t="str">
        <x:v>基础设置</x:v>
      </x:c>
      <x:c r="D1" s="4" t="str">
        <x:v>基础设置</x:v>
      </x:c>
      <x:c r="E1" s="4" t="str">
        <x:v>基础设置</x:v>
      </x:c>
    </x:row>
    <x:row r="3">
      <x:c r="A3" s="8" t="str">
        <x:v>少量下拉项，后续可按企业习惯修改</x:v>
      </x:c>
      <x:c r="B3" s="8" t="str">
        <x:v>少量下拉项，后续可按企业习惯修改</x:v>
      </x:c>
      <x:c r="C3" s="8" t="str">
        <x:v>少量下拉项，后续可按企业习惯修改</x:v>
      </x:c>
      <x:c r="D3" s="8" t="str">
        <x:v>少量下拉项，后续可按企业习惯修改</x:v>
      </x:c>
      <x:c r="E3" s="8" t="str">
        <x:v>少量下拉项，后续可按企业习惯修改</x:v>
      </x:c>
    </x:row>
    <x:row r="4">
      <x:c r="A4" s="22" t="str">
        <x:v>物料类型</x:v>
      </x:c>
      <x:c r="B4" s="22" t="str">
        <x:v>单位</x:v>
      </x:c>
      <x:c r="C4" s="22" t="str">
        <x:v>采购状态</x:v>
      </x:c>
      <x:c r="D4" s="22" t="str">
        <x:v>质检状态</x:v>
      </x:c>
      <x:c r="E4" s="22" t="str">
        <x:v>生产工序</x:v>
      </x:c>
    </x:row>
    <x:row r="5">
      <x:c r="A5" s="15" t="str">
        <x:v>纱线</x:v>
      </x:c>
      <x:c r="B5" s="15" t="str">
        <x:v>KG</x:v>
      </x:c>
      <x:c r="C5" s="15" t="str">
        <x:v>未下单</x:v>
      </x:c>
      <x:c r="D5" s="15" t="str">
        <x:v>待检</x:v>
      </x:c>
      <x:c r="E5" s="15" t="str">
        <x:v>横机</x:v>
      </x:c>
    </x:row>
    <x:row r="6">
      <x:c r="A6" s="15" t="str">
        <x:v>面料</x:v>
      </x:c>
      <x:c r="B6" s="15" t="str">
        <x:v>M</x:v>
      </x:c>
      <x:c r="C6" s="15" t="str">
        <x:v>已下单</x:v>
      </x:c>
      <x:c r="D6" s="15" t="str">
        <x:v>合格</x:v>
      </x:c>
      <x:c r="E6" s="15" t="str">
        <x:v>裁剪</x:v>
      </x:c>
    </x:row>
    <x:row r="7">
      <x:c r="A7" s="15" t="str">
        <x:v>辅料</x:v>
      </x:c>
      <x:c r="B7" s="15" t="str">
        <x:v>PCS</x:v>
      </x:c>
      <x:c r="C7" s="15" t="str">
        <x:v>未到料</x:v>
      </x:c>
      <x:c r="D7" s="15" t="str">
        <x:v>不合格</x:v>
      </x:c>
      <x:c r="E7" s="15" t="str">
        <x:v>缝制/后道</x:v>
      </x:c>
    </x:row>
    <x:row r="8">
      <x:c r="A8" s="15" t="str"/>
      <x:c r="B8" s="15" t="str">
        <x:v>Y</x:v>
      </x:c>
      <x:c r="C8" s="15" t="str">
        <x:v>部分到料</x:v>
      </x:c>
      <x:c r="D8" s="15" t="str">
        <x:v>让步接收</x:v>
      </x:c>
      <x:c r="E8" s="15" t="str">
        <x:v>样衣</x:v>
      </x:c>
    </x:row>
    <x:row r="9">
      <x:c r="A9" s="15" t="str"/>
      <x:c r="B9" s="15" t="str">
        <x:v>件</x:v>
      </x:c>
      <x:c r="C9" s="15" t="str">
        <x:v>已到齐</x:v>
      </x:c>
      <x:c r="D9" s="15" t="str"/>
      <x:c r="E9" s="15" t="str"/>
    </x:row>
    <x:row r="10">
      <x:c r="A10" s="15" t="str"/>
      <x:c r="B10" s="15" t="str">
        <x:v>卷</x:v>
      </x:c>
      <x:c r="C10" s="15" t="str">
        <x:v>退换货</x:v>
      </x:c>
      <x:c r="D10" s="15" t="str"/>
      <x:c r="E10" s="15" t="str"/>
    </x:row>
    <x:row r="11">
      <x:c r="A11" s="15" t="str"/>
      <x:c r="B11" s="15" t="str">
        <x:v>包</x:v>
      </x:c>
      <x:c r="C11" s="15" t="str"/>
      <x:c r="D11" s="15" t="str"/>
      <x:c r="E11" s="15" t="str"/>
    </x:row>
    <x:row r="12">
      <x:c r="A12" s="15" t="str"/>
      <x:c r="B12" s="15" t="str">
        <x:v>G</x:v>
      </x:c>
      <x:c r="C12" s="15" t="str"/>
      <x:c r="D12" s="15" t="str"/>
      <x:c r="E12" s="15" t="str"/>
    </x:row>
  </x:sheetData>
  <x:mergeCells>
    <x:mergeCell ref="A1:E1"/>
    <x:mergeCell ref="A3:E3"/>
  </x:mergeCells>
  <x:pageMargins left="0.7" right="0.7" top="0.75" bottom="0.75" header="0.3" footer="0.3"/>
</x:worksheet>
</file>